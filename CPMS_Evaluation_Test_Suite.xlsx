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dponcloud-my.sharepoint.com/personal/e702348_edp_pt/Documents/Documents/ZZProg/CPMS/"/>
    </mc:Choice>
  </mc:AlternateContent>
  <xr:revisionPtr revIDLastSave="3" documentId="11_AA556EEFF9285B5AE5735D1B2287472D20E3093E" xr6:coauthVersionLast="47" xr6:coauthVersionMax="47" xr10:uidLastSave="{36CB0236-19E0-4320-ADBC-B8EC22D3E481}"/>
  <bookViews>
    <workbookView minimized="1" xWindow="1704" yWindow="744" windowWidth="21432" windowHeight="11244" firstSheet="1" activeTab="3" xr2:uid="{00000000-000D-0000-FFFF-FFFF00000000}"/>
  </bookViews>
  <sheets>
    <sheet name="Lookups" sheetId="1" state="hidden" r:id="rId1"/>
    <sheet name="Functional Test Suite" sheetId="2" r:id="rId2"/>
    <sheet name="Non-Functional Test Suite" sheetId="3" r:id="rId3"/>
    <sheet name="Summary" sheetId="4" r:id="rId4"/>
  </sheets>
  <definedNames>
    <definedName name="_xlnm._FilterDatabase" localSheetId="1" hidden="1">'Functional Test Suite'!$A$1:$P$158</definedName>
    <definedName name="_xlnm._FilterDatabase" localSheetId="2" hidden="1">'Non-Functional Test Suite'!$A$1:$P$49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4" l="1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D50" i="4" s="1"/>
  <c r="C34" i="4"/>
  <c r="B34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N49" i="3"/>
  <c r="O49" i="3" s="1"/>
  <c r="N48" i="3"/>
  <c r="O48" i="3" s="1"/>
  <c r="N47" i="3"/>
  <c r="O47" i="3" s="1"/>
  <c r="N46" i="3"/>
  <c r="O46" i="3" s="1"/>
  <c r="E48" i="4" s="1"/>
  <c r="N45" i="3"/>
  <c r="O45" i="3" s="1"/>
  <c r="N44" i="3"/>
  <c r="O44" i="3" s="1"/>
  <c r="N43" i="3"/>
  <c r="O43" i="3" s="1"/>
  <c r="N42" i="3"/>
  <c r="O42" i="3" s="1"/>
  <c r="E47" i="4" s="1"/>
  <c r="N41" i="3"/>
  <c r="O41" i="3" s="1"/>
  <c r="E46" i="4" s="1"/>
  <c r="N40" i="3"/>
  <c r="O40" i="3" s="1"/>
  <c r="E45" i="4" s="1"/>
  <c r="F45" i="4" s="1"/>
  <c r="N39" i="3"/>
  <c r="O39" i="3" s="1"/>
  <c r="N38" i="3"/>
  <c r="O38" i="3" s="1"/>
  <c r="N37" i="3"/>
  <c r="O37" i="3" s="1"/>
  <c r="N36" i="3"/>
  <c r="O36" i="3" s="1"/>
  <c r="N35" i="3"/>
  <c r="O35" i="3" s="1"/>
  <c r="N34" i="3"/>
  <c r="O34" i="3" s="1"/>
  <c r="N33" i="3"/>
  <c r="O33" i="3" s="1"/>
  <c r="N32" i="3"/>
  <c r="O32" i="3" s="1"/>
  <c r="N31" i="3"/>
  <c r="O31" i="3" s="1"/>
  <c r="N30" i="3"/>
  <c r="O30" i="3" s="1"/>
  <c r="N29" i="3"/>
  <c r="O29" i="3" s="1"/>
  <c r="E42" i="4" s="1"/>
  <c r="N28" i="3"/>
  <c r="O28" i="3" s="1"/>
  <c r="N27" i="3"/>
  <c r="O27" i="3" s="1"/>
  <c r="N26" i="3"/>
  <c r="O26" i="3" s="1"/>
  <c r="E41" i="4" s="1"/>
  <c r="N25" i="3"/>
  <c r="O25" i="3" s="1"/>
  <c r="N24" i="3"/>
  <c r="O24" i="3" s="1"/>
  <c r="N23" i="3"/>
  <c r="O23" i="3" s="1"/>
  <c r="N22" i="3"/>
  <c r="O22" i="3" s="1"/>
  <c r="N21" i="3"/>
  <c r="O21" i="3" s="1"/>
  <c r="N20" i="3"/>
  <c r="O20" i="3" s="1"/>
  <c r="N19" i="3"/>
  <c r="O19" i="3" s="1"/>
  <c r="N18" i="3"/>
  <c r="O18" i="3" s="1"/>
  <c r="E38" i="4" s="1"/>
  <c r="F38" i="4" s="1"/>
  <c r="N17" i="3"/>
  <c r="O17" i="3" s="1"/>
  <c r="N16" i="3"/>
  <c r="O16" i="3" s="1"/>
  <c r="N15" i="3"/>
  <c r="O15" i="3" s="1"/>
  <c r="N14" i="3"/>
  <c r="O14" i="3" s="1"/>
  <c r="N13" i="3"/>
  <c r="O13" i="3" s="1"/>
  <c r="N12" i="3"/>
  <c r="O12" i="3" s="1"/>
  <c r="N11" i="3"/>
  <c r="O11" i="3" s="1"/>
  <c r="N10" i="3"/>
  <c r="O10" i="3" s="1"/>
  <c r="N9" i="3"/>
  <c r="O9" i="3" s="1"/>
  <c r="N8" i="3"/>
  <c r="O8" i="3" s="1"/>
  <c r="N7" i="3"/>
  <c r="O7" i="3" s="1"/>
  <c r="N6" i="3"/>
  <c r="O6" i="3" s="1"/>
  <c r="N5" i="3"/>
  <c r="O5" i="3" s="1"/>
  <c r="E35" i="4" s="1"/>
  <c r="N4" i="3"/>
  <c r="O4" i="3" s="1"/>
  <c r="N3" i="3"/>
  <c r="O3" i="3" s="1"/>
  <c r="N2" i="3"/>
  <c r="O2" i="3" s="1"/>
  <c r="E34" i="4" s="1"/>
  <c r="N158" i="2"/>
  <c r="O158" i="2" s="1"/>
  <c r="N157" i="2"/>
  <c r="O157" i="2" s="1"/>
  <c r="N156" i="2"/>
  <c r="O156" i="2" s="1"/>
  <c r="N155" i="2"/>
  <c r="O155" i="2" s="1"/>
  <c r="N154" i="2"/>
  <c r="O154" i="2" s="1"/>
  <c r="N153" i="2"/>
  <c r="O153" i="2" s="1"/>
  <c r="N152" i="2"/>
  <c r="O152" i="2" s="1"/>
  <c r="N151" i="2"/>
  <c r="O151" i="2" s="1"/>
  <c r="N150" i="2"/>
  <c r="O150" i="2" s="1"/>
  <c r="N149" i="2"/>
  <c r="O149" i="2" s="1"/>
  <c r="N148" i="2"/>
  <c r="O148" i="2" s="1"/>
  <c r="N147" i="2"/>
  <c r="O147" i="2" s="1"/>
  <c r="N146" i="2"/>
  <c r="O146" i="2" s="1"/>
  <c r="N145" i="2"/>
  <c r="O145" i="2" s="1"/>
  <c r="N144" i="2"/>
  <c r="O144" i="2" s="1"/>
  <c r="N143" i="2"/>
  <c r="O143" i="2" s="1"/>
  <c r="N142" i="2"/>
  <c r="O142" i="2" s="1"/>
  <c r="N141" i="2"/>
  <c r="O141" i="2" s="1"/>
  <c r="N140" i="2"/>
  <c r="O140" i="2" s="1"/>
  <c r="N139" i="2"/>
  <c r="O139" i="2" s="1"/>
  <c r="N138" i="2"/>
  <c r="O138" i="2" s="1"/>
  <c r="N137" i="2"/>
  <c r="O137" i="2" s="1"/>
  <c r="N136" i="2"/>
  <c r="O136" i="2" s="1"/>
  <c r="N135" i="2"/>
  <c r="O135" i="2" s="1"/>
  <c r="N134" i="2"/>
  <c r="O134" i="2" s="1"/>
  <c r="N133" i="2"/>
  <c r="O133" i="2" s="1"/>
  <c r="N132" i="2"/>
  <c r="O132" i="2" s="1"/>
  <c r="N131" i="2"/>
  <c r="O131" i="2" s="1"/>
  <c r="N130" i="2"/>
  <c r="O130" i="2" s="1"/>
  <c r="N129" i="2"/>
  <c r="O129" i="2" s="1"/>
  <c r="N128" i="2"/>
  <c r="O128" i="2" s="1"/>
  <c r="N127" i="2"/>
  <c r="O127" i="2" s="1"/>
  <c r="N126" i="2"/>
  <c r="O126" i="2" s="1"/>
  <c r="N125" i="2"/>
  <c r="O125" i="2" s="1"/>
  <c r="N124" i="2"/>
  <c r="O124" i="2" s="1"/>
  <c r="N123" i="2"/>
  <c r="O123" i="2" s="1"/>
  <c r="N122" i="2"/>
  <c r="O122" i="2" s="1"/>
  <c r="N121" i="2"/>
  <c r="O121" i="2" s="1"/>
  <c r="N120" i="2"/>
  <c r="O120" i="2" s="1"/>
  <c r="N119" i="2"/>
  <c r="O119" i="2" s="1"/>
  <c r="N118" i="2"/>
  <c r="O118" i="2" s="1"/>
  <c r="N117" i="2"/>
  <c r="O117" i="2" s="1"/>
  <c r="N116" i="2"/>
  <c r="O116" i="2" s="1"/>
  <c r="N115" i="2"/>
  <c r="O115" i="2" s="1"/>
  <c r="N114" i="2"/>
  <c r="O114" i="2" s="1"/>
  <c r="N113" i="2"/>
  <c r="O113" i="2" s="1"/>
  <c r="N112" i="2"/>
  <c r="O112" i="2" s="1"/>
  <c r="N111" i="2"/>
  <c r="O111" i="2" s="1"/>
  <c r="E21" i="4" s="1"/>
  <c r="N110" i="2"/>
  <c r="O110" i="2" s="1"/>
  <c r="N109" i="2"/>
  <c r="O109" i="2" s="1"/>
  <c r="N108" i="2"/>
  <c r="O108" i="2" s="1"/>
  <c r="N107" i="2"/>
  <c r="O107" i="2" s="1"/>
  <c r="N106" i="2"/>
  <c r="O106" i="2" s="1"/>
  <c r="N105" i="2"/>
  <c r="O105" i="2" s="1"/>
  <c r="N104" i="2"/>
  <c r="O104" i="2" s="1"/>
  <c r="N103" i="2"/>
  <c r="O103" i="2" s="1"/>
  <c r="N102" i="2"/>
  <c r="O102" i="2" s="1"/>
  <c r="N101" i="2"/>
  <c r="O101" i="2" s="1"/>
  <c r="N100" i="2"/>
  <c r="O100" i="2" s="1"/>
  <c r="N99" i="2"/>
  <c r="O99" i="2" s="1"/>
  <c r="N98" i="2"/>
  <c r="O98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91" i="2"/>
  <c r="O91" i="2" s="1"/>
  <c r="E18" i="4" s="1"/>
  <c r="F18" i="4" s="1"/>
  <c r="N90" i="2"/>
  <c r="O90" i="2" s="1"/>
  <c r="N89" i="2"/>
  <c r="O89" i="2" s="1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81" i="2"/>
  <c r="O81" i="2" s="1"/>
  <c r="N80" i="2"/>
  <c r="O80" i="2" s="1"/>
  <c r="N79" i="2"/>
  <c r="O79" i="2" s="1"/>
  <c r="N78" i="2"/>
  <c r="O78" i="2" s="1"/>
  <c r="N77" i="2"/>
  <c r="O77" i="2" s="1"/>
  <c r="N76" i="2"/>
  <c r="O76" i="2" s="1"/>
  <c r="N75" i="2"/>
  <c r="O75" i="2" s="1"/>
  <c r="N74" i="2"/>
  <c r="O74" i="2" s="1"/>
  <c r="N73" i="2"/>
  <c r="O73" i="2" s="1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3" i="2"/>
  <c r="O63" i="2" s="1"/>
  <c r="E16" i="4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3" i="2"/>
  <c r="O53" i="2" s="1"/>
  <c r="N52" i="2"/>
  <c r="O52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  <c r="N2" i="2"/>
  <c r="O2" i="2" s="1"/>
  <c r="B50" i="4" l="1"/>
  <c r="C50" i="4"/>
  <c r="B29" i="4"/>
  <c r="F21" i="4"/>
  <c r="F42" i="4"/>
  <c r="F46" i="4"/>
  <c r="E20" i="4"/>
  <c r="F20" i="4" s="1"/>
  <c r="E26" i="4"/>
  <c r="F26" i="4" s="1"/>
  <c r="E43" i="4"/>
  <c r="F43" i="4" s="1"/>
  <c r="E14" i="4"/>
  <c r="F14" i="4" s="1"/>
  <c r="E28" i="4"/>
  <c r="F28" i="4" s="1"/>
  <c r="E39" i="4"/>
  <c r="F39" i="4" s="1"/>
  <c r="E15" i="4"/>
  <c r="F15" i="4" s="1"/>
  <c r="E24" i="4"/>
  <c r="F24" i="4" s="1"/>
  <c r="E36" i="4"/>
  <c r="F36" i="4" s="1"/>
  <c r="F35" i="4"/>
  <c r="F47" i="4"/>
  <c r="E19" i="4"/>
  <c r="F19" i="4" s="1"/>
  <c r="E22" i="4"/>
  <c r="F22" i="4" s="1"/>
  <c r="E40" i="4"/>
  <c r="E49" i="4"/>
  <c r="F49" i="4" s="1"/>
  <c r="E13" i="4"/>
  <c r="F13" i="4" s="1"/>
  <c r="E17" i="4"/>
  <c r="F17" i="4" s="1"/>
  <c r="E44" i="4"/>
  <c r="F44" i="4" s="1"/>
  <c r="E12" i="4"/>
  <c r="F12" i="4" s="1"/>
  <c r="E37" i="4"/>
  <c r="F48" i="4"/>
  <c r="F34" i="4"/>
  <c r="E27" i="4"/>
  <c r="F27" i="4" s="1"/>
  <c r="C29" i="4"/>
  <c r="E23" i="4"/>
  <c r="F23" i="4" s="1"/>
  <c r="E25" i="4"/>
  <c r="F25" i="4" s="1"/>
  <c r="F16" i="4"/>
  <c r="F37" i="4"/>
  <c r="F41" i="4"/>
  <c r="D29" i="4"/>
  <c r="E50" i="4" l="1"/>
  <c r="F50" i="4" s="1"/>
  <c r="F40" i="4"/>
  <c r="E29" i="4"/>
  <c r="F29" i="4"/>
</calcChain>
</file>

<file path=xl/sharedStrings.xml><?xml version="1.0" encoding="utf-8"?>
<sst xmlns="http://schemas.openxmlformats.org/spreadsheetml/2006/main" count="2255" uniqueCount="1356">
  <si>
    <t>Support Level</t>
  </si>
  <si>
    <t>Score</t>
  </si>
  <si>
    <t>Priority</t>
  </si>
  <si>
    <t>Suggested Weight</t>
  </si>
  <si>
    <t>OOB (out-of-box)</t>
  </si>
  <si>
    <t>Must</t>
  </si>
  <si>
    <t>Configurable</t>
  </si>
  <si>
    <t>Should</t>
  </si>
  <si>
    <t>Custom / Professional Services</t>
  </si>
  <si>
    <t>Could</t>
  </si>
  <si>
    <t>Roadmap</t>
  </si>
  <si>
    <t>Not supported</t>
  </si>
  <si>
    <t>N/A</t>
  </si>
  <si>
    <t>Test ID</t>
  </si>
  <si>
    <t>Tier</t>
  </si>
  <si>
    <t>Category</t>
  </si>
  <si>
    <t>Subcategory</t>
  </si>
  <si>
    <t>Capability / Feature</t>
  </si>
  <si>
    <t>Test Scenario (what to ask / do)</t>
  </si>
  <si>
    <t>Pass Criteria</t>
  </si>
  <si>
    <t>Evidence to Capture</t>
  </si>
  <si>
    <t>Test Method</t>
  </si>
  <si>
    <t>Weight</t>
  </si>
  <si>
    <t>Source Req IDs</t>
  </si>
  <si>
    <t>Vendor Support Level</t>
  </si>
  <si>
    <t>Weighted Score</t>
  </si>
  <si>
    <t>Notes / Limitations</t>
  </si>
  <si>
    <t>F-001</t>
  </si>
  <si>
    <t>Core</t>
  </si>
  <si>
    <t>1. Charger and Network Management</t>
  </si>
  <si>
    <t>1.1 Charger Connectivity and Protocol Support</t>
  </si>
  <si>
    <t>Charger compatibility / hardware agnostic onboarding</t>
  </si>
  <si>
    <t>Connect at least 2–3 different EVSE models (AC + DC) and verify onboarding/provisioning without custom firmware per model.</t>
  </si>
  <si>
    <t>EVSEs connect successfully; core operations (status, start/stop, meter values) work consistently across models.</t>
  </si>
  <si>
    <t>List of supported EVSE models; screenshot of EVSE details; OCPP logs showing successful boot/heartbeat.</t>
  </si>
  <si>
    <t>POC + Docs</t>
  </si>
  <si>
    <t>1.1.1</t>
  </si>
  <si>
    <t>F-002</t>
  </si>
  <si>
    <t>OCPP protocol support (1.6J + 2.0.1) and certification evidence</t>
  </si>
  <si>
    <t>Ask vendor to demonstrate OCPP 1.6J and OCPP 2.0.1 operation (or simulator) and provide certification/interop proof.</t>
  </si>
  <si>
    <t>Evidence of OCPP certification/interop; successful OCPP connection and basic operations on both versions (where applicable).</t>
  </si>
  <si>
    <t>Certification documents; test logs; screenshots of protocol configuration.</t>
  </si>
  <si>
    <t>Docs + Demo</t>
  </si>
  <si>
    <t>1.1.2</t>
  </si>
  <si>
    <t>F-003</t>
  </si>
  <si>
    <t>Extended</t>
  </si>
  <si>
    <t>Remote firmware management for chargers</t>
  </si>
  <si>
    <t>Run a firmware update campaign on a test EVSE (single + bulk). Track progress, handle failure, and verify final version.</t>
  </si>
  <si>
    <t>Firmware can be scheduled/triggered remotely; status and errors are visible; failures are handled without bricking devices.</t>
  </si>
  <si>
    <t>Campaign screen; EVSE firmware version before/after; failure log example.</t>
  </si>
  <si>
    <t>POC + Demo</t>
  </si>
  <si>
    <t>1.1.3</t>
  </si>
  <si>
    <t>F-004</t>
  </si>
  <si>
    <t>1.2 Real-time Monitoring and Control</t>
  </si>
  <si>
    <t>Real-time EVSE status &amp; telemetry ingestion</t>
  </si>
  <si>
    <t>Validate that EVSE state changes (Available/Charging/Faulted/Offline) propagate to CPMS in near real time and are historically traceable.</t>
  </si>
  <si>
    <t>Status updates appear within agreed latency; data is consistent with charger/HMI; history is accessible.</t>
  </si>
  <si>
    <t>Screenshots of dashboard + EVSE timeline; sample event stream/logs.</t>
  </si>
  <si>
    <t>POC</t>
  </si>
  <si>
    <t>1.2.1, 1.2.2, 1.2.6</t>
  </si>
  <si>
    <t>F-005</t>
  </si>
  <si>
    <t>Remote operational commands (restart, unlock, availability)</t>
  </si>
  <si>
    <t>Send remote commands (restart charger, unlock connector/cable, set inoperative/operative) and verify the EVSE executes them and CPMS records outcome.</t>
  </si>
  <si>
    <t>Commands succeed (or return clear error); outcomes are logged; safety checks and permissions apply.</t>
  </si>
  <si>
    <t>Command audit log; EVSE behavior evidence; error handling example.</t>
  </si>
  <si>
    <t>1.2.3, 1.2.5, 1.2.7</t>
  </si>
  <si>
    <t>F-006</t>
  </si>
  <si>
    <t>Network operations dashboard</t>
  </si>
  <si>
    <t>Review the operations dashboard for fleet overview, filtering (site, model, status), and drill-down to a single EVSE/connector.</t>
  </si>
  <si>
    <t>Dashboard provides actionable view and supports filtering/drill-down; key KPIs visible (uptime, sessions, faults).</t>
  </si>
  <si>
    <t>Dashboard screenshots; list of available filters/exports.</t>
  </si>
  <si>
    <t>Demo</t>
  </si>
  <si>
    <t>1.2.4</t>
  </si>
  <si>
    <t>F-007</t>
  </si>
  <si>
    <t>1.3 Charge Point Management and Definition</t>
  </si>
  <si>
    <t>EVSE provisioning (manual + bulk) and property management</t>
  </si>
  <si>
    <t>Create a site and add EVSEs via UI and via bulk import/API. Update key properties (name, power, access type, timezone).</t>
  </si>
  <si>
    <t>Provisioning works end-to-end; changes are validated and versioned; bulk import reports errors clearly.</t>
  </si>
  <si>
    <t>Import template; success/error report; EVSE detail pages.</t>
  </si>
  <si>
    <t>1.3.1</t>
  </si>
  <si>
    <t>F-008</t>
  </si>
  <si>
    <t>Connector/EVSE modeling (connectors, dynamic satellites, metadata)</t>
  </si>
  <si>
    <t>Model an EVSE with multiple connectors and (if relevant) satellite/dynamic connectors. Verify connector-level status and session data.</t>
  </si>
  <si>
    <t>CPMS supports connector-level entities; dynamic connector counts are supported or clearly constrained.</t>
  </si>
  <si>
    <t>EVSE/connector model screenshots; sample sessions per connector.</t>
  </si>
  <si>
    <t>1.3.2, 1.3.11</t>
  </si>
  <si>
    <t>F-009</t>
  </si>
  <si>
    <t>Access types and private/home charger association</t>
  </si>
  <si>
    <t>Configure public vs private vs fleet EVSEs and associate a private/home charger to a specific driver/account.</t>
  </si>
  <si>
    <t>Access rules enforce who can start sessions; private/home association impacts billing/reporting correctly.</t>
  </si>
  <si>
    <t>Configuration screenshots; access denied/allowed evidence.</t>
  </si>
  <si>
    <t>1.3.3, 1.3.4</t>
  </si>
  <si>
    <t>F-010</t>
  </si>
  <si>
    <t>Location and operating schedule management</t>
  </si>
  <si>
    <t>Edit site/EVSE address, geo-coordinates, and operating hours / time schedules (including exceptions).</t>
  </si>
  <si>
    <t>Location updates reflect in discovery/reporting; schedules can be managed and enforced (if applicable).</t>
  </si>
  <si>
    <t>Site details; schedule calendar; app/map display evidence.</t>
  </si>
  <si>
    <t>1.3.5, 1.3.6</t>
  </si>
  <si>
    <t>F-011</t>
  </si>
  <si>
    <t>Configuration templates, compare &amp; apply</t>
  </si>
  <si>
    <t>Compare two EVSE configurations, create a template/preset, and apply it to an EVSE and to a group.</t>
  </si>
  <si>
    <t>Differences can be compared; presets can be applied safely; resulting config matches expected values.</t>
  </si>
  <si>
    <t>Comparison view; template definition; before/after config export.</t>
  </si>
  <si>
    <t>1.3.8, 1.3.9, 1.3.10</t>
  </si>
  <si>
    <t>F-012</t>
  </si>
  <si>
    <t>Manual status override with permissions</t>
  </si>
  <si>
    <t>Manually set an EVSE/connector status (e.g., Inoperative) and confirm it is permission-gated and recorded.</t>
  </si>
  <si>
    <t>Only authorized roles can override; changes are logged; status is visible across UI/API.</t>
  </si>
  <si>
    <t>Audit entry; role permission settings; UI status evidence.</t>
  </si>
  <si>
    <t>1.3.7</t>
  </si>
  <si>
    <t>F-013</t>
  </si>
  <si>
    <t>1.4 Charger Groups</t>
  </si>
  <si>
    <t>Create and manage charger groups</t>
  </si>
  <si>
    <t>Create groups by site/region/tag and assign EVSEs; validate group membership updates when tags change.</t>
  </si>
  <si>
    <t>Groups support both manual assignment and rule/tag-based assignment; membership is accurate.</t>
  </si>
  <si>
    <t>Group config screenshots; membership list export.</t>
  </si>
  <si>
    <t>1.4.1</t>
  </si>
  <si>
    <t>F-014</t>
  </si>
  <si>
    <t>Bulk operations by group</t>
  </si>
  <si>
    <t>Apply bulk actions (tariff assignment, configuration preset, firmware campaign, operational command) to a group.</t>
  </si>
  <si>
    <t>Bulk actions apply consistently; progress/errors are visible; rollback strategy exists.</t>
  </si>
  <si>
    <t>Bulk action logs; sample affected EVSEs.</t>
  </si>
  <si>
    <t>Demo + POC</t>
  </si>
  <si>
    <t>1.4.2</t>
  </si>
  <si>
    <t>F-015</t>
  </si>
  <si>
    <t>Group-based access permissions</t>
  </si>
  <si>
    <t>Restrict an operator role to a specific group and confirm they cannot access other groups’ EVSEs/data.</t>
  </si>
  <si>
    <t>Data and actions are scoped correctly; no cross-tenant leakage.</t>
  </si>
  <si>
    <t>Role config; access denied evidence; audit log.</t>
  </si>
  <si>
    <t>1.4.3</t>
  </si>
  <si>
    <t>F-016</t>
  </si>
  <si>
    <t>1.5 Fault Detection and Maintenance</t>
  </si>
  <si>
    <t>Fault detection, fault codes, severity classification</t>
  </si>
  <si>
    <t>Trigger or simulate common faults (offline, EVSE error, connector fault). Validate fault codes, severity, and state transitions.</t>
  </si>
  <si>
    <t>Faults are detected and categorized; fault code taxonomy exists; severity drives workflows/alerts.</t>
  </si>
  <si>
    <t>Fault event screenshots; code list; sample fault lifecycle.</t>
  </si>
  <si>
    <t>1.5.1, 1.5.7, 1.5.8, 1.5.9</t>
  </si>
  <si>
    <t>F-017</t>
  </si>
  <si>
    <t>Configurable alert rules &amp; notifications (email/SMS/webhook)</t>
  </si>
  <si>
    <t>Configure alert rules by severity/site/time and validate notifications via email/SMS (or webhook) are delivered and tracked.</t>
  </si>
  <si>
    <t>Notifications trigger correctly; recipients are configurable; notification delivery/failure is visible.</t>
  </si>
  <si>
    <t>Rule configuration; sample notifications; delivery logs.</t>
  </si>
  <si>
    <t>1.5.3, 1.5.4</t>
  </si>
  <si>
    <t>F-018</t>
  </si>
  <si>
    <t>Maintenance views: fault history and troubleshooting guidance</t>
  </si>
  <si>
    <t>Review EVSE fault history view and any embedded troubleshooting playbooks / suggested actions.</t>
  </si>
  <si>
    <t>History is searchable; technicians can see context and recommended steps (if supported).</t>
  </si>
  <si>
    <t>Screenshots; export of history; playbook example.</t>
  </si>
  <si>
    <t>1.5.5, 1.5.6</t>
  </si>
  <si>
    <t>F-019</t>
  </si>
  <si>
    <t>Proactive / self-healing capabilities</t>
  </si>
  <si>
    <t>Ask vendor to demonstrate any automated remediation (e.g., reset on comms failure, watchdogs) and configuration controls.</t>
  </si>
  <si>
    <t>Automations exist with safeguards; actions are logged; can be enabled/disabled per site/group.</t>
  </si>
  <si>
    <t>Automation settings; logs of automated remediation.</t>
  </si>
  <si>
    <t>1.5.2</t>
  </si>
  <si>
    <t>F-020</t>
  </si>
  <si>
    <t>Ticketing / workflow integration</t>
  </si>
  <si>
    <t>Create a fault and push it to a ticketing system (or export) with bi-directional status sync if available.</t>
  </si>
  <si>
    <t>Ticket is created with correct metadata; status updates sync back (if supported).</t>
  </si>
  <si>
    <t>Integration config; sample ticket; sync evidence.</t>
  </si>
  <si>
    <t>1.5.11</t>
  </si>
  <si>
    <t>F-021</t>
  </si>
  <si>
    <t>1.6 Network Resilience and Local Autonomy</t>
  </si>
  <si>
    <t>Offline charging continuity and data sync</t>
  </si>
  <si>
    <t>Simulate network outage between EVSE and CPMS. Validate offline authorization/session recording and sync back when online.</t>
  </si>
  <si>
    <t>Charging can continue per configured policy; sessions are reconciled without duplicates; operator visibility maintained.</t>
  </si>
  <si>
    <t>Outage test logs; offline session record; sync reconciliation report.</t>
  </si>
  <si>
    <t>1.6.1</t>
  </si>
  <si>
    <t>F-022</t>
  </si>
  <si>
    <t>Edge/local controller autonomy (if applicable)</t>
  </si>
  <si>
    <t>If an edge gateway/local controller is used, validate it can enforce site power caps and continue operations during cloud outage.</t>
  </si>
  <si>
    <t>Local controller maintains critical functions; configuration and telemetry sync correctly when cloud returns.</t>
  </si>
  <si>
    <t>Architecture diagram; outage behavior evidence; config sync logs.</t>
  </si>
  <si>
    <t>1.6.1, 3.7.1</t>
  </si>
  <si>
    <t>F-023</t>
  </si>
  <si>
    <t>2. Charging Session Management &amp; CDR</t>
  </si>
  <si>
    <t>2.1 Session tracking</t>
  </si>
  <si>
    <t>Real-time session tracking and visibility</t>
  </si>
  <si>
    <t>Start a charging session and validate live session data (kWh, duration, power, SoC if available) is visible in CPMS and updates continuously.</t>
  </si>
  <si>
    <t>Live session view is accurate and updates within agreed latency; can drill into session details.</t>
  </si>
  <si>
    <t>Active session screenshots; sample meter values; session timeline export.</t>
  </si>
  <si>
    <t>2.1.1</t>
  </si>
  <si>
    <t>F-024</t>
  </si>
  <si>
    <t>2.2 Session Control</t>
  </si>
  <si>
    <t>Remote control of sessions (start/stop/pause) with audit</t>
  </si>
  <si>
    <t>Use CPMS to remotely start, stop, or pause a session and confirm behavior at EVSE and in the session record.</t>
  </si>
  <si>
    <t>Commands work and are permission-gated; outcomes are logged; customer is notified if applicable.</t>
  </si>
  <si>
    <t>Command logs; session record; EVSE response logs.</t>
  </si>
  <si>
    <t>2.2.1</t>
  </si>
  <si>
    <t>F-025</t>
  </si>
  <si>
    <t>2.3 CDR genration, export and storage</t>
  </si>
  <si>
    <t>CDR generation with required fields and format</t>
  </si>
  <si>
    <t>Generate a CDR for a completed session and validate mandatory fields (IDs, timestamps, meter values, tariff, cost, VAT) and any required schema (e.g., OCPI CDR).</t>
  </si>
  <si>
    <t>CDR contains complete and consistent data; schema validation passes; IDs match session and EVSE entities.</t>
  </si>
  <si>
    <t>Sample CDR export (JSON/CSV/PDF); schema validation result.</t>
  </si>
  <si>
    <t>2.3.1</t>
  </si>
  <si>
    <t>F-026</t>
  </si>
  <si>
    <t>CDR retention and export controls</t>
  </si>
  <si>
    <t>Configure CDR retention policy and export CDRs in bulk by date range/site; verify access controls and auditability.</t>
  </si>
  <si>
    <t>Retention is configurable; exports succeed; access controls apply; exports are logged.</t>
  </si>
  <si>
    <t>Retention settings; export files; audit logs.</t>
  </si>
  <si>
    <t>2.3.2, 2.3.3</t>
  </si>
  <si>
    <t>F-027</t>
  </si>
  <si>
    <t>Session logs ↔ CDR consistency and audit trace</t>
  </si>
  <si>
    <t>Trace a session from raw events to CDR and billing record. Validate immutability and reconciliation approach.</t>
  </si>
  <si>
    <t>Session record, events, and CDR are consistent; reconciliation tooling exists; changes are auditable.</t>
  </si>
  <si>
    <t>Trace screenshots; reconciliation report; audit log evidence.</t>
  </si>
  <si>
    <t>2.3.4, 2.3.5</t>
  </si>
  <si>
    <t>F-028</t>
  </si>
  <si>
    <t>Roaming CDR generation and acceptance</t>
  </si>
  <si>
    <t>Validate the platform can generate CDRs for roaming sessions and also import/accept CDRs from roaming partners/hubs.</t>
  </si>
  <si>
    <t>Outbound and inbound roaming CDR flows are supported with clear validation and error handling.</t>
  </si>
  <si>
    <t>Sample roaming CDR; import logs; error handling examples.</t>
  </si>
  <si>
    <t>Demo + Docs</t>
  </si>
  <si>
    <t>2.3.5</t>
  </si>
  <si>
    <t>F-029</t>
  </si>
  <si>
    <t>2.4 Session Error Handling</t>
  </si>
  <si>
    <t>Failed/incomplete session handling and reconciliation</t>
  </si>
  <si>
    <t>Simulate interrupted/failed sessions (power loss, EV unplug, comms loss). Verify how the session is closed and billed.</t>
  </si>
  <si>
    <t>Platform detects failures, closes sessions deterministically, and surfaces them for review; billing rules are correct.</t>
  </si>
  <si>
    <t>Failed session example; flags/reason codes; reconciliation workflow.</t>
  </si>
  <si>
    <t>2.4.1, 2.4.2</t>
  </si>
  <si>
    <t>F-030</t>
  </si>
  <si>
    <t>2.5 Real-time Monitoring Dashboard</t>
  </si>
  <si>
    <t>Operations dashboard for active sessions</t>
  </si>
  <si>
    <t>Review dashboard for active sessions with filters (site, charger, customer, tariff) and drill-down.</t>
  </si>
  <si>
    <t>Dashboard supports operational monitoring and troubleshooting with minimal clicks.</t>
  </si>
  <si>
    <t>Dashboard screenshots; filter list.</t>
  </si>
  <si>
    <t>2.5.1</t>
  </si>
  <si>
    <t>F-031</t>
  </si>
  <si>
    <t>2.6 Offline Session Handling</t>
  </si>
  <si>
    <t>Offline session buffering and synchronization</t>
  </si>
  <si>
    <t>Force EVSE offline mid-session. Validate the system buffers transactions and syncs without duplicates and with correct timestamps.</t>
  </si>
  <si>
    <t>Sessions are preserved; sync resolves conflicts; audit trail exists.</t>
  </si>
  <si>
    <t>Offline session record; sync logs; dedup evidence.</t>
  </si>
  <si>
    <t>2.6.1</t>
  </si>
  <si>
    <t>F-032</t>
  </si>
  <si>
    <t>2.7 Multi-Tariff Session Support</t>
  </si>
  <si>
    <t>Multi-tariff sessions (price changes during session)</t>
  </si>
  <si>
    <t>Run a session spanning a tariff boundary (ToU change, demand response, promotion) and validate rating and CDR breakdown.</t>
  </si>
  <si>
    <t>Billing reflects tariff segments accurately; receipt shows breakdown.</t>
  </si>
  <si>
    <t>Segmented CDR; receipt with breakdown; tariff schedule.</t>
  </si>
  <si>
    <t>2.7.1</t>
  </si>
  <si>
    <t>F-033</t>
  </si>
  <si>
    <t>3. Smart Energy Management</t>
  </si>
  <si>
    <t>3.1 Basic Smart Energy Management</t>
  </si>
  <si>
    <t>Static load management (site power cap)</t>
  </si>
  <si>
    <t>Configure a fixed site power limit and validate the system enforces it across simultaneous sessions.</t>
  </si>
  <si>
    <t>Aggregate site load never exceeds cap; distribution across EVSEs is deterministic and configurable.</t>
  </si>
  <si>
    <t>Load cap settings; power telemetry chart/screenshot; charging profiles.</t>
  </si>
  <si>
    <t>3.1.3</t>
  </si>
  <si>
    <t>F-034</t>
  </si>
  <si>
    <t>Dynamic load management using real-time measurements</t>
  </si>
  <si>
    <t>Enable dynamic load management using real-time site measurements (smart meter/CT). Validate response to changing available capacity.</t>
  </si>
  <si>
    <t>System adjusts charging rates in near real time; no breaker limit violations; stable control (no oscillation).</t>
  </si>
  <si>
    <t>Smart meter data feed; before/after power; control logs.</t>
  </si>
  <si>
    <t>3.1.4, 3.1.9</t>
  </si>
  <si>
    <t>F-035</t>
  </si>
  <si>
    <t>Priority and policy-based power allocation</t>
  </si>
  <si>
    <t>Set priority policies (e.g., VIP, fleet departure time, fairness) and validate power allocation matches policy.</t>
  </si>
  <si>
    <t>Policy can be configured; outcomes match expected priorities; auditability available.</t>
  </si>
  <si>
    <t>Policy configuration; session power traces; explanation of algorithm.</t>
  </si>
  <si>
    <t>3.1.2, 3.1.5</t>
  </si>
  <si>
    <t>F-036</t>
  </si>
  <si>
    <t>Energy management dashboards and reporting (site + portfolio)</t>
  </si>
  <si>
    <t>Review SEM dashboards for site and portfolio KPIs (peak load, energy, demand charges) and export reports.</t>
  </si>
  <si>
    <t>Dashboards provide actionable insights; exports available; data is consistent with sessions/CDRs.</t>
  </si>
  <si>
    <t>Dashboard screenshots; sample report export.</t>
  </si>
  <si>
    <t>3.1.6, 3.1.7, 3.1.8</t>
  </si>
  <si>
    <t>F-037</t>
  </si>
  <si>
    <t>Integration of SEM with CPMS operations</t>
  </si>
  <si>
    <t>Validate SEM controls are natively integrated with session control and tariffs (no separate tooling required).</t>
  </si>
  <si>
    <t>SEM settings apply to real sessions; operators manage from same console; API coverage exists.</t>
  </si>
  <si>
    <t>UI navigation evidence; API endpoints; settings screen.</t>
  </si>
  <si>
    <t>3.1.1, 3.1.8</t>
  </si>
  <si>
    <t>F-038</t>
  </si>
  <si>
    <t>3.2 Advanced Smart Energy Management</t>
  </si>
  <si>
    <t>OpenADR / utility demand response (DR) integration readiness</t>
  </si>
  <si>
    <t>Ask vendor to demonstrate OpenADR support or DR integration approach (signals, events, baselines) and any live references.</t>
  </si>
  <si>
    <t>DR events can be received and acted upon; compliance reporting exists or roadmap is clear.</t>
  </si>
  <si>
    <t>Integration documentation; demo DR event; references.</t>
  </si>
  <si>
    <t>3.2.1, 3.2.7, 3.2.9</t>
  </si>
  <si>
    <t>F-039</t>
  </si>
  <si>
    <t>External EMS charging profile ingestion and dispatch</t>
  </si>
  <si>
    <t>Send charging schedules/profiles from an external EMS and validate CPMS applies them at site/EVSE level.</t>
  </si>
  <si>
    <t>Profiles are validated, applied, and tracked; conflicts are handled; override rules exist.</t>
  </si>
  <si>
    <t>Sample profile payload; applied profiles; conflict log.</t>
  </si>
  <si>
    <t>3.2.2, 3.2.4</t>
  </si>
  <si>
    <t>F-040</t>
  </si>
  <si>
    <t>DER coordination (PV, grid, BESS) with real-time monitoring</t>
  </si>
  <si>
    <t>Demonstrate monitoring and coordination across EVSE + PV + BESS (if supported), including energy flow visibility.</t>
  </si>
  <si>
    <t>System can ingest DER telemetry and use it in decisions; dashboards show flows clearly.</t>
  </si>
  <si>
    <t>Energy flow dashboard; DER integration setup; sample data.</t>
  </si>
  <si>
    <t>3.2.3, 3.2.5</t>
  </si>
  <si>
    <t>F-041</t>
  </si>
  <si>
    <t>V2G / bidirectional readiness</t>
  </si>
  <si>
    <t>Explain and demonstrate roadmap/support for ISO 15118-20 / V2G (if applicable) and how CPMS will manage export sessions and settlement.</t>
  </si>
  <si>
    <t>Clear architecture and support boundaries; ability to handle bidirectional telemetry and transactions is documented.</t>
  </si>
  <si>
    <t>Architecture docs; supported standards list; demo/simulator output.</t>
  </si>
  <si>
    <t>Docs</t>
  </si>
  <si>
    <t>3.2.6</t>
  </si>
  <si>
    <t>F-042</t>
  </si>
  <si>
    <t>Historical analytics for energy optimization</t>
  </si>
  <si>
    <t>Use historical data to recommend or automatically optimize charging (peak shaving, cost).</t>
  </si>
  <si>
    <t>System can analyze history and produce recommendations/actions; results can be audited.</t>
  </si>
  <si>
    <t>Report screenshot; optimization run output; audit entries.</t>
  </si>
  <si>
    <t>3.2.8, 3.2.10, 3.2.11</t>
  </si>
  <si>
    <t>F-043</t>
  </si>
  <si>
    <t>3.3 Tariff and Cost optimization</t>
  </si>
  <si>
    <t>Cost model support (ToU, demand charges, dynamic prices) for optimization</t>
  </si>
  <si>
    <t>Configure ToU/demand charges inputs and validate optimization uses them to shift load and estimate savings.</t>
  </si>
  <si>
    <t>Optimization decisions reflect cost inputs; savings are calculated transparently.</t>
  </si>
  <si>
    <t>Cost model settings; sample optimization result; savings report.</t>
  </si>
  <si>
    <t>3.3.1</t>
  </si>
  <si>
    <t>F-044</t>
  </si>
  <si>
    <t>Manual tariff/cost input management for SEM</t>
  </si>
  <si>
    <t>Create/edit cost models manually (without external provider) and validate versioning and effect on optimization.</t>
  </si>
  <si>
    <t>Operators can manage cost models; changes are traceable; effective dates supported.</t>
  </si>
  <si>
    <t>Cost model editor screenshots; version history.</t>
  </si>
  <si>
    <t>3.3.2</t>
  </si>
  <si>
    <t>F-045</t>
  </si>
  <si>
    <t>3.4 Topology and Infrastructure Modeling</t>
  </si>
  <si>
    <t>Site electrical topology modeling (auto + manual edit)</t>
  </si>
  <si>
    <t>Model a site topology (feeders, panels, limits) and validate control can be applied per branch; demonstrate auto-topology if offered.</t>
  </si>
  <si>
    <t>Topology is representable; constraints enforce correctly; changes are versioned.</t>
  </si>
  <si>
    <t>Topology diagram screenshot; constraint settings; enforcement evidence.</t>
  </si>
  <si>
    <t>3.4.1, 3.4.2</t>
  </si>
  <si>
    <t>F-046</t>
  </si>
  <si>
    <t>3.5 Distributed Energy Resource (DER) Orchestration</t>
  </si>
  <si>
    <t>Grid import/export control &amp; balancing (if supported)</t>
  </si>
  <si>
    <t>Demonstrate ability to control/limit grid import/export and balance loads dynamically (EVSE + DER).</t>
  </si>
  <si>
    <t>Controls exist and are configurable; system respects constraints and logs actions.</t>
  </si>
  <si>
    <t>Control settings; logs; power traces.</t>
  </si>
  <si>
    <t>3.5.1</t>
  </si>
  <si>
    <t>F-047</t>
  </si>
  <si>
    <t>Local controller integration (MODBUS / edge) for DER control</t>
  </si>
  <si>
    <t>Demonstrate integration to a local controller via MODBUS (or equivalent) for real-time DER/EVSE control.</t>
  </si>
  <si>
    <t>Integration is supported and documented; telemetry and commands flow reliably.</t>
  </si>
  <si>
    <t>Integration diagram; sample MODBUS mapping; logs.</t>
  </si>
  <si>
    <t>3.5.2, 3.5.3</t>
  </si>
  <si>
    <t>F-048</t>
  </si>
  <si>
    <t>BESS dispatch / arbitrage for cost savings (if supported)</t>
  </si>
  <si>
    <t>Demonstrate BESS dispatch logic for arbitrage/peak shaving and how it interacts with charging schedules.</t>
  </si>
  <si>
    <t>BESS actions are configurable and auditable; savings model is clear.</t>
  </si>
  <si>
    <t>Dispatch schedule; audit logs; savings report.</t>
  </si>
  <si>
    <t>3.5.4</t>
  </si>
  <si>
    <t>F-049</t>
  </si>
  <si>
    <t>3.6 Battery Energy Storage management</t>
  </si>
  <si>
    <t>Integration with fleet schedules for energy planning</t>
  </si>
  <si>
    <t>Demonstrate how fleet departure schedules or booking windows influence energy planning (EVSE load + storage).</t>
  </si>
  <si>
    <t>Fleet schedules can be ingested and used in SEM decisions; conflicts are handled.</t>
  </si>
  <si>
    <t>Schedule import; optimization result; config evidence.</t>
  </si>
  <si>
    <t>3.6.1</t>
  </si>
  <si>
    <t>F-050</t>
  </si>
  <si>
    <t>Out-of-box integration with utility tariff providers</t>
  </si>
  <si>
    <t>Ask vendor to show any direct integrations with tariff providers (e.g., Nord Pool / Arcadia) and how tariffs are updated.</t>
  </si>
  <si>
    <t>Integration exists or clear alternative; update frequency and fallbacks are defined.</t>
  </si>
  <si>
    <t>Integration list; sample tariff update log; API docs.</t>
  </si>
  <si>
    <t>3.6.2</t>
  </si>
  <si>
    <t>F-051</t>
  </si>
  <si>
    <t>3.7 Integrations</t>
  </si>
  <si>
    <t>Local controller as OCPP proxy</t>
  </si>
  <si>
    <t>Demonstrate OCPP proxy mode through a local controller and confirm EVSE can be managed through it.</t>
  </si>
  <si>
    <t>Proxy mode works; communication, security, and upgrade strategy are documented.</t>
  </si>
  <si>
    <t>Architecture diagram; logs showing proxied OCPP connection.</t>
  </si>
  <si>
    <t>3.7.1</t>
  </si>
  <si>
    <t>F-052</t>
  </si>
  <si>
    <t>Smart meter integration without local controller</t>
  </si>
  <si>
    <t>Integrate a smart meter directly to the platform (without edge gateway) and validate data ingestion and use in control.</t>
  </si>
  <si>
    <t>Meter data ingests reliably; mapping and calibration exist; data is used in DLM decisions.</t>
  </si>
  <si>
    <t>Meter integration config; sample meter data; DLM effect evidence.</t>
  </si>
  <si>
    <t>3.7.2</t>
  </si>
  <si>
    <t>F-053</t>
  </si>
  <si>
    <t>Open API support for third-party energy systems</t>
  </si>
  <si>
    <t>Review APIs/webhooks for integrating third-party EMS/DERMS and validate authentication and documentation.</t>
  </si>
  <si>
    <t>APIs cover needed objects/events; docs are complete; auth is secure.</t>
  </si>
  <si>
    <t>API docs; Postman collection; sample webhook payload.</t>
  </si>
  <si>
    <t>3.7.3, 16.7</t>
  </si>
  <si>
    <t>F-054</t>
  </si>
  <si>
    <t>4. Authentication Methods</t>
  </si>
  <si>
    <t>4.1 Authencation and charging session initiation</t>
  </si>
  <si>
    <t>Multiple authentication methods (RFID, App, QR, Plug&amp;Charge, AutoCharge)</t>
  </si>
  <si>
    <t>Demonstrate starting a session using each supported method (at least RFID + App + QR). Describe Plug&amp;Charge/AutoCharge support and prerequisites.</t>
  </si>
  <si>
    <t>Supported methods are clearly documented; at least one end-to-end flow is demonstrated per method; method availability is configurable by site/EVSE.</t>
  </si>
  <si>
    <t>Demo recordings/screenshots; supported methods matrix; configuration screen.</t>
  </si>
  <si>
    <t>4.1.0, 4.1.3</t>
  </si>
  <si>
    <t>F-055</t>
  </si>
  <si>
    <t>Offline authentication and fallback (local lists / token pre-sync)</t>
  </si>
  <si>
    <t>Simulate network outage and start a session using offline auth. Validate token lists are pre-synced and audited.</t>
  </si>
  <si>
    <t>Offline auth works per policy; tokens are managed securely; sessions sync after reconnect.</t>
  </si>
  <si>
    <t>Offline auth configuration; logs; successful session record.</t>
  </si>
  <si>
    <t>4.1.1, 4.1.5</t>
  </si>
  <si>
    <t>F-056</t>
  </si>
  <si>
    <t>Guest charging workflow</t>
  </si>
  <si>
    <t>Run a guest charging flow (no registered account) and validate payment/receipt behavior and fraud controls.</t>
  </si>
  <si>
    <t>Guest flow is supported (or clearly not); user experience and security controls are adequate.</t>
  </si>
  <si>
    <t>Guest flow screens; payment confirmation; receipt.</t>
  </si>
  <si>
    <t>4.1.2</t>
  </si>
  <si>
    <t>F-057</t>
  </si>
  <si>
    <t>Authentication method enable/disable per site/EVSE/user group</t>
  </si>
  <si>
    <t>Configure a site to allow RFID only, another to allow App/QR; validate enforcement for different user groups.</t>
  </si>
  <si>
    <t>Policy enforcement works; errors are user-friendly; audit logs exist.</t>
  </si>
  <si>
    <t>Policy configuration; denied attempt evidence; audit log.</t>
  </si>
  <si>
    <t>4.1.3</t>
  </si>
  <si>
    <t>F-058</t>
  </si>
  <si>
    <t>Roaming token exchange &amp; validation (OCPI + hubs)</t>
  </si>
  <si>
    <t>Demonstrate token authorization flow for roaming (OCPI peer-to-peer and via roaming hubs like Hubject/Gireve).</t>
  </si>
  <si>
    <t>Tokens can be exchanged/validated; security controls in place; clear operational monitoring.</t>
  </si>
  <si>
    <t>Sequence diagram; logs from a roaming token validation; configuration screenshots.</t>
  </si>
  <si>
    <t>4.1.4, 9.1, 9.5</t>
  </si>
  <si>
    <t>F-059</t>
  </si>
  <si>
    <t>4.2 RFID Life-cycle management</t>
  </si>
  <si>
    <t>RFID card lifecycle (order, activate, block, replace)</t>
  </si>
  <si>
    <t>Demonstrate ordering/provisioning process and lifecycle actions: activate, suspend, replace, and audit.</t>
  </si>
  <si>
    <t>Lifecycle actions are supported with proper role controls and audit trail.</t>
  </si>
  <si>
    <t>RFID management screens; sample audit log.</t>
  </si>
  <si>
    <t>4.2.1, 4.2.6</t>
  </si>
  <si>
    <t>F-060</t>
  </si>
  <si>
    <t>RFID assignment model (multiple cards per customer; linking/unlinking)</t>
  </si>
  <si>
    <t>Assign multiple RFID cards to a single customer and test access and billing behavior. Unlink and verify revocation.</t>
  </si>
  <si>
    <t>System supports multiple cards; revocation is immediate; billing attribution is correct.</t>
  </si>
  <si>
    <t>Customer profile with cards; revocation test; session attribution evidence.</t>
  </si>
  <si>
    <t>4.2.3, 4.2.7</t>
  </si>
  <si>
    <t>F-061</t>
  </si>
  <si>
    <t>Pricing / tariff rules by authentication method (RFID vs App vs Roaming)</t>
  </si>
  <si>
    <t>Configure different pricing rules by auth/payment method and validate correct tariff selection in rating/CDR.</t>
  </si>
  <si>
    <t>Tariff selection rules are configurable; rating results are correct and auditable.</t>
  </si>
  <si>
    <t>Tariff rules config; sample CDR/receipt showing correct tariff.</t>
  </si>
  <si>
    <t>4.2.2, 4.2.4, 8.25</t>
  </si>
  <si>
    <t>F-062</t>
  </si>
  <si>
    <t>5. Driver Management</t>
  </si>
  <si>
    <t>5.1 Driver Management backend</t>
  </si>
  <si>
    <t>Admin/CS driver account management (create, update, deactivate)</t>
  </si>
  <si>
    <t>Create, update, and deactivate driver accounts via admin portal; validate email/phone identifiers and status states.</t>
  </si>
  <si>
    <t>Account lifecycle works; deactivation blocks charging; actions are audited.</t>
  </si>
  <si>
    <t>Screenshots; audit log; blocked session evidence.</t>
  </si>
  <si>
    <t>5.1.1</t>
  </si>
  <si>
    <t>F-063</t>
  </si>
  <si>
    <t>Customer types and segmentation (private, business, fleet)</t>
  </si>
  <si>
    <t>Configure different customer types and verify differentiated permissions, billing models, and reporting segmentation.</t>
  </si>
  <si>
    <t>Customer type impacts rules as expected; segmentation available across reports and tariffs.</t>
  </si>
  <si>
    <t>Customer type settings; report filters; tariff assignment evidence.</t>
  </si>
  <si>
    <t>5.1.2, 1.3.3</t>
  </si>
  <si>
    <t>F-064</t>
  </si>
  <si>
    <t>Customer service tooling (support agent view/actions)</t>
  </si>
  <si>
    <t>Demonstrate customer service role capabilities: view sessions, manage tokens, assist payments, reset credentials, and access restrictions.</t>
  </si>
  <si>
    <t>CS users can perform required support actions without over-privilege; actions are logged.</t>
  </si>
  <si>
    <t>CS role permissions; example support workflow; audit entries.</t>
  </si>
  <si>
    <t>5.1.3, 13.2.1</t>
  </si>
  <si>
    <t>F-065</t>
  </si>
  <si>
    <t>Linking drivers to tokens and payment/billing profiles</t>
  </si>
  <si>
    <t>Link a driver to RFID token(s) and a payment/billing profile; verify session attribution and invoicing.</t>
  </si>
  <si>
    <t>Attribution is correct; changes propagate quickly; revocation works.</t>
  </si>
  <si>
    <t>Driver profile; sample session + invoice; audit log.</t>
  </si>
  <si>
    <t>5.1.4, 5.1.5</t>
  </si>
  <si>
    <t>F-066</t>
  </si>
  <si>
    <t>Driver groups (corporate/family) with shared rules</t>
  </si>
  <si>
    <t>Create a driver group and apply shared policies (tariff eligibility, shared payment, charging limits).</t>
  </si>
  <si>
    <t>Group-level rules apply correctly; membership changes update permissions instantly.</t>
  </si>
  <si>
    <t>Group config; eligibility test; audit log.</t>
  </si>
  <si>
    <t>5.1.6</t>
  </si>
  <si>
    <t>F-067</t>
  </si>
  <si>
    <t>5.2 Registration Process</t>
  </si>
  <si>
    <t>Self-service driver registration (individual)</t>
  </si>
  <si>
    <t>Register a new individual driver account end-to-end (app/portal) including email verification.</t>
  </si>
  <si>
    <t>Registration succeeds with validation; duplicate prevention; confirmation messages sent.</t>
  </si>
  <si>
    <t>Registration screens; verification email; created account record.</t>
  </si>
  <si>
    <t>5.2.1, 5.2.6, 5.2.7</t>
  </si>
  <si>
    <t>F-068</t>
  </si>
  <si>
    <t>Business registration and company account onboarding</t>
  </si>
  <si>
    <t>Register a business user/company account and validate required business fields and approval workflows if any.</t>
  </si>
  <si>
    <t>Business registration supports required attributes; roles and billing models for business accounts exist.</t>
  </si>
  <si>
    <t>Business registration form; created company account; role assignment.</t>
  </si>
  <si>
    <t>5.2.2, 5.2.3</t>
  </si>
  <si>
    <t>F-069</t>
  </si>
  <si>
    <t>Terms &amp; conditions acceptance tracking</t>
  </si>
  <si>
    <t>During registration, capture acceptance of terms/privacy policy and demonstrate access to historical accepted versions.</t>
  </si>
  <si>
    <t>T&amp;C acceptance is recorded with timestamp/version; user can view terms in app/portal.</t>
  </si>
  <si>
    <t>T&amp;C acceptance record; terms display screenshot.</t>
  </si>
  <si>
    <t>5.2.4, 6.2.4</t>
  </si>
  <si>
    <t>F-070</t>
  </si>
  <si>
    <t>Payment information capture and security controls</t>
  </si>
  <si>
    <t>Enter payment details during registration/onboarding and verify tokenization approach and PCI responsibility split.</t>
  </si>
  <si>
    <t>Payment data is not stored in plaintext; tokens are used; roles and logs restrict access.</t>
  </si>
  <si>
    <t>Payment flow description; tokenization proof; security docs.</t>
  </si>
  <si>
    <t>5.2.5, 10.4.1</t>
  </si>
  <si>
    <t>F-071</t>
  </si>
  <si>
    <t>PII protection and encryption</t>
  </si>
  <si>
    <t>Validate encryption and access controls for customer private information and ability to support GDPR requests (export/delete).</t>
  </si>
  <si>
    <t>PII is protected in transit and at rest; access is logged; GDPR operations are supported or documented.</t>
  </si>
  <si>
    <t>Security docs; data export/delete demo; audit logs.</t>
  </si>
  <si>
    <t>5.2.9, 14. Data Privacy</t>
  </si>
  <si>
    <t>F-072</t>
  </si>
  <si>
    <t>6. Mobile App Functionality (Drivers)</t>
  </si>
  <si>
    <t>6.1 White labelled App</t>
  </si>
  <si>
    <t>Mobile app login/identity model (email/phone/password) and session security</t>
  </si>
  <si>
    <t>Demonstrate login (email/phone + password) and security controls (password reset, session timeout, device binding optional).</t>
  </si>
  <si>
    <t>Login works; security controls exist; account lockout/abuse prevention is documented.</t>
  </si>
  <si>
    <t>Screenshots; security settings; password reset email.</t>
  </si>
  <si>
    <t>6.1.1</t>
  </si>
  <si>
    <t>F-073</t>
  </si>
  <si>
    <t>White-label / branding capabilities</t>
  </si>
  <si>
    <t>Review options to brand the app (logo, colors, content, feature toggles) and distribution model (native, PWA, OEM).</t>
  </si>
  <si>
    <t>Branding is configurable without code changes; app store/private distribution process is supported.</t>
  </si>
  <si>
    <t>Branding configuration; example branded screenshots; release process doc.</t>
  </si>
  <si>
    <t>F-074</t>
  </si>
  <si>
    <t>6.2 Driver self-management</t>
  </si>
  <si>
    <t>Profile and account self-management</t>
  </si>
  <si>
    <t>Update profile details and preferences; validate changes reflect in backend and communications.</t>
  </si>
  <si>
    <t>Self-service updates are supported and validated; changes sync across channels.</t>
  </si>
  <si>
    <t>Screenshots; backend user record evidence.</t>
  </si>
  <si>
    <t>6.2.1</t>
  </si>
  <si>
    <t>F-075</t>
  </si>
  <si>
    <t>Account deletion / data deletion flow</t>
  </si>
  <si>
    <t>Trigger account deletion and validate impact on access, data retention policy, and GDPR compliance handling.</t>
  </si>
  <si>
    <t>Deletion is supported or clear alternative; user access removed; data retention policy is applied.</t>
  </si>
  <si>
    <t>Deletion confirmation; admin view; retention policy docs.</t>
  </si>
  <si>
    <t>6.2.2</t>
  </si>
  <si>
    <t>F-076</t>
  </si>
  <si>
    <t>Subscription/plan management in app</t>
  </si>
  <si>
    <t>Show how drivers can view/manage subscription(s) or billing plans via the app/portal.</t>
  </si>
  <si>
    <t>Subscription status is visible; changes take effect; billing impact is clear.</t>
  </si>
  <si>
    <t>Subscription screen; backend plan record; invoice example.</t>
  </si>
  <si>
    <t>6.2.3, 8.23</t>
  </si>
  <si>
    <t>F-077</t>
  </si>
  <si>
    <t>Terms &amp; policy access in app</t>
  </si>
  <si>
    <t>Demonstrate how users view terms, privacy policy, and consent settings within the app.</t>
  </si>
  <si>
    <t>Policies are accessible and versioned; consent is manageable where applicable.</t>
  </si>
  <si>
    <t>Screenshots; consent record example.</t>
  </si>
  <si>
    <t>6.2.4</t>
  </si>
  <si>
    <t>F-078</t>
  </si>
  <si>
    <t>6.3 Charger Discovery &amp; Navigation</t>
  </si>
  <si>
    <t>Charger discovery map with filters and availability</t>
  </si>
  <si>
    <t>Search for chargers by location and filter by connector type, power, price, access. Validate availability is real-time.</t>
  </si>
  <si>
    <t>Map results are accurate; filters work; statuses are correct and timely.</t>
  </si>
  <si>
    <t>App screenshots; status refresh behavior evidence.</t>
  </si>
  <si>
    <t>6.3.1, 6.3.2, 6.3.3</t>
  </si>
  <si>
    <t>F-079</t>
  </si>
  <si>
    <t>Charger detail view (pricing, amenities, instructions)</t>
  </si>
  <si>
    <t>Open a charger detail view and confirm it shows relevant info (connector, power, pricing, access, instructions).</t>
  </si>
  <si>
    <t>Detail view provides enough info to decide; pricing display aligns with tariff configuration.</t>
  </si>
  <si>
    <t>Detail view screenshot; pricing breakdown reference.</t>
  </si>
  <si>
    <t>6.3.5</t>
  </si>
  <si>
    <t>F-080</t>
  </si>
  <si>
    <t>Navigation integration</t>
  </si>
  <si>
    <t>Launch navigation directions to a selected charger using native maps apps.</t>
  </si>
  <si>
    <t>Navigation works across iOS/Android; uses correct coordinates.</t>
  </si>
  <si>
    <t>Screenshots / screen recording.</t>
  </si>
  <si>
    <t>6.3.4</t>
  </si>
  <si>
    <t>F-081</t>
  </si>
  <si>
    <t>Guest access to charger availability</t>
  </si>
  <si>
    <t>Access charger availability as a guest (not logged in) and validate data privacy controls.</t>
  </si>
  <si>
    <t>Guest access works per policy; sensitive data is protected.</t>
  </si>
  <si>
    <t>Guest flow screenshot; policy configuration.</t>
  </si>
  <si>
    <t>6.3.6</t>
  </si>
  <si>
    <t>F-082</t>
  </si>
  <si>
    <t>6.4 Charging and Invoice/Receipt</t>
  </si>
  <si>
    <t>Start/stop charging from app and monitor in real time</t>
  </si>
  <si>
    <t>Start a session from app, monitor live kWh/time/cost, and stop from app; verify consistency with backend session.</t>
  </si>
  <si>
    <t>Start/stop works reliably; live metrics accurate; session appears in history quickly.</t>
  </si>
  <si>
    <t>Screen recording; session record in backend; logs.</t>
  </si>
  <si>
    <t>6.3.7, 6.4.1</t>
  </si>
  <si>
    <t>F-083</t>
  </si>
  <si>
    <t>Notifications and session completion outcome</t>
  </si>
  <si>
    <t>Validate push/email notifications for session completion and show the final outcome screen.</t>
  </si>
  <si>
    <t>Notifications arrive promptly; final screen shows energy, duration, cost, and any penalties.</t>
  </si>
  <si>
    <t>Notification screenshot; final summary screen.</t>
  </si>
  <si>
    <t>6.4.2, 6.4.3</t>
  </si>
  <si>
    <t>F-084</t>
  </si>
  <si>
    <t>Receipts/invoices with detailed cost breakdown</t>
  </si>
  <si>
    <t>Generate a digital receipt for a session with ToU/penalties. Validate line-item breakdown matches tariff config.</t>
  </si>
  <si>
    <t>Receipt includes required details and matches billing engine output; accessible in history/downloadable.</t>
  </si>
  <si>
    <t>Receipt PDF/HTML; CDR comparison; tariff config.</t>
  </si>
  <si>
    <t>6.4.7, 8.21, 10.3.7</t>
  </si>
  <si>
    <t>F-085</t>
  </si>
  <si>
    <t>Charging history and privileged views</t>
  </si>
  <si>
    <t>View personal charging history; if applicable, verify a privileged account can view all sessions for a group/fleet.</t>
  </si>
  <si>
    <t>History is searchable/filterable; privileged access is controlled by role/hierarchy.</t>
  </si>
  <si>
    <t>History screens; admin/fleet view; role config.</t>
  </si>
  <si>
    <t>6.4.8, 6.4.9</t>
  </si>
  <si>
    <t>F-086</t>
  </si>
  <si>
    <t>6.5 Credit and Debit Management</t>
  </si>
  <si>
    <t>Wallet balance visibility and enforcement (insufficient funds / credit limits)</t>
  </si>
  <si>
    <t>Test prepaid wallet balance display and attempt to start a session with insufficient funds / exceeded limits.</t>
  </si>
  <si>
    <t>System blocks service per policy and provides clear messaging; balance is accurate post-session.</t>
  </si>
  <si>
    <t>Balance screen; blocked attempt evidence; policy config.</t>
  </si>
  <si>
    <t>6.4.6, 6.4.10, 6.5.1</t>
  </si>
  <si>
    <t>F-087</t>
  </si>
  <si>
    <t>Payment method pre-authorization before charging</t>
  </si>
  <si>
    <t>Start a session with credit card payment and verify a pre-authorization/check occurs and failures are handled gracefully.</t>
  </si>
  <si>
    <t>Pre-auth occurs; failures prevent session; logs and user messaging are clear.</t>
  </si>
  <si>
    <t>Gateway logs; app message; session record.</t>
  </si>
  <si>
    <t>6.5.4</t>
  </si>
  <si>
    <t>F-088</t>
  </si>
  <si>
    <t>6.6 Advanced Mobile App Functionality</t>
  </si>
  <si>
    <t>Smart home charging optimization (departure time, ToU, battery level)</t>
  </si>
  <si>
    <t>Configure home charging preferences (departure time + current battery level) and validate optimization respects ToU rates and user preferences.</t>
  </si>
  <si>
    <t>Optimization algorithm is explainable; user can override; results are shown to user.</t>
  </si>
  <si>
    <t>Preference screen; optimization plan; ToU settings reference.</t>
  </si>
  <si>
    <t>6.5.5, 6.6.2</t>
  </si>
  <si>
    <t>F-089</t>
  </si>
  <si>
    <t>Issue reporting from app (charger faults) to support workflow</t>
  </si>
  <si>
    <t>Report an issue from the app for a specific charger and validate it creates a support case with context.</t>
  </si>
  <si>
    <t>Issue report includes charger/session context; support receives it; status updates possible.</t>
  </si>
  <si>
    <t>Issue report screenshot; created ticket/case evidence.</t>
  </si>
  <si>
    <t>6.6.3, 6.7.1</t>
  </si>
  <si>
    <t>F-090</t>
  </si>
  <si>
    <t>7. Reservations</t>
  </si>
  <si>
    <t>Create a reservation with time-slot selection</t>
  </si>
  <si>
    <t>From app/portal, reserve a charger for a future time using available time slots.</t>
  </si>
  <si>
    <t>Reservation is created; calendar shows availability; conflicts are prevented.</t>
  </si>
  <si>
    <t>Reservation screen; calendar view; confirmation message.</t>
  </si>
  <si>
    <t>7.1</t>
  </si>
  <si>
    <t>F-091</t>
  </si>
  <si>
    <t>Reservation rules (max duration, lead time, grace periods)</t>
  </si>
  <si>
    <t>Configure max reservation duration and any lead time/grace period rules; validate enforcement.</t>
  </si>
  <si>
    <t>Rules are configurable and enforced consistently.</t>
  </si>
  <si>
    <t>Rule configuration; attempted invalid booking evidence.</t>
  </si>
  <si>
    <t>7.2</t>
  </si>
  <si>
    <t>F-092</t>
  </si>
  <si>
    <t>Reservation notifications and reminders</t>
  </si>
  <si>
    <t>Validate notifications for upcoming reservation start and arrival reminders.</t>
  </si>
  <si>
    <t>Notifications arrive with correct timing and content; user can manage preferences if available.</t>
  </si>
  <si>
    <t>Notification screenshot; preference settings.</t>
  </si>
  <si>
    <t>7.3</t>
  </si>
  <si>
    <t>F-093</t>
  </si>
  <si>
    <t>Reservation management (view, cancel) for customer and customer service</t>
  </si>
  <si>
    <t>View and cancel reservations as a user and as customer service; validate audit trail.</t>
  </si>
  <si>
    <t>Both user and CS can view/cancel per permissions; cancellation policy applied.</t>
  </si>
  <si>
    <t>Reservation list; cancellation record; audit log.</t>
  </si>
  <si>
    <t>7.4, 7.5</t>
  </si>
  <si>
    <t>F-094</t>
  </si>
  <si>
    <t>Reservation exclusivity and fee policies</t>
  </si>
  <si>
    <t>Verify reserved chargers show 'Reserved' status and are blocked for others; validate reservation cost/no-show/cancellation fees.</t>
  </si>
  <si>
    <t>Reserved state prevents others from starting; fees/penalties can be configured and billed correctly.</t>
  </si>
  <si>
    <t>Reserved status on map; blocked start attempt; fee line-item on receipt.</t>
  </si>
  <si>
    <t>7.6, 7.7, 8.8, 8.11, 8.12</t>
  </si>
  <si>
    <t>F-095</t>
  </si>
  <si>
    <t>8. Flexible Tariff, Pricing and Billing Plans</t>
  </si>
  <si>
    <t>Tariff component model (energy, time, session fee, min/max, overstay, parking)</t>
  </si>
  <si>
    <t>Configure a tariff with multiple components (kWh rate + session fee + overstay/parking). Run a session and validate billing.</t>
  </si>
  <si>
    <t>Billing matches configured components; constraints (min/max) are applied; receipt shows components.</t>
  </si>
  <si>
    <t>Tariff config; sample receipt; CDR rating breakdown.</t>
  </si>
  <si>
    <t>8.1, 8.4, 8.5, 8.6, 8.7</t>
  </si>
  <si>
    <t>F-096</t>
  </si>
  <si>
    <t>Time-based and day-of-week pricing (ToD/DoW)</t>
  </si>
  <si>
    <t>Create time-of-day/day-of-week pricing variations and validate rating across boundaries.</t>
  </si>
  <si>
    <t>Tariff schedule is supported; session is correctly segmented and billed.</t>
  </si>
  <si>
    <t>Tariff schedule; segmented receipt/CDR.</t>
  </si>
  <si>
    <t>8.3, 2.7.1</t>
  </si>
  <si>
    <t>F-097</t>
  </si>
  <si>
    <t>Reservation and penalty fees (initial, per-minute, late/no-show, cancellation)</t>
  </si>
  <si>
    <t>Configure reservation fee policies and validate charges for late arrival/no-show/cancel.</t>
  </si>
  <si>
    <t>Fees are configurable and applied as expected; shown to user before charging where required.</t>
  </si>
  <si>
    <t>Fee policy config; receipt line items; tariff display evidence.</t>
  </si>
  <si>
    <t>8.8, 8.9, 8.10, 8.11, 8.12, 7.7</t>
  </si>
  <si>
    <t>F-098</t>
  </si>
  <si>
    <t>Interruptible tariffs and pre-emption</t>
  </si>
  <si>
    <t>Demonstrate interruptible tariff behavior: temporarily suspend charging due to technical/commercial reasons and resume.</t>
  </si>
  <si>
    <t>Suspension/resume is supported; user messaging exists; billing is correct and auditable.</t>
  </si>
  <si>
    <t>Control log; user notification; session record.</t>
  </si>
  <si>
    <t>8.13, 8.14, 8.15</t>
  </si>
  <si>
    <t>F-099</t>
  </si>
  <si>
    <t>ToU tariff upload (hourly) and use in billing/optimization</t>
  </si>
  <si>
    <t>Upload hourly ToU energy tariff and validate it is used for billing and/or energy management decisions.</t>
  </si>
  <si>
    <t>Hourly tariff import works; updates are versioned; rating is correct.</t>
  </si>
  <si>
    <t>Upload file; tariff table; rated session evidence.</t>
  </si>
  <si>
    <t>8.16, 3.3.1</t>
  </si>
  <si>
    <t>F-100</t>
  </si>
  <si>
    <t>Dynamic energy price-based tariffs</t>
  </si>
  <si>
    <t>Demonstrate how dynamic pricing inputs are ingested and applied (e.g., market price feed) and how customers are informed.</t>
  </si>
  <si>
    <t>Dynamic pricing is supported or clear constraints; customer transparency is handled.</t>
  </si>
  <si>
    <t>Integration doc; sample price update; session bill.</t>
  </si>
  <si>
    <t>8.17</t>
  </si>
  <si>
    <t>F-101</t>
  </si>
  <si>
    <t>Tariff assignment and eligibility rules (by charger/group/user/partner)</t>
  </si>
  <si>
    <t>Assign default tariffs per charger and group; create eligibility rules for customer groups and roaming partners.</t>
  </si>
  <si>
    <t>Assignment and precedence are clear; correct tariff is applied for different users/partners.</t>
  </si>
  <si>
    <t>Assignment screens; eligibility rules; test sessions evidence.</t>
  </si>
  <si>
    <t>8.2, 8.25, 9.7</t>
  </si>
  <si>
    <t>F-102</t>
  </si>
  <si>
    <t>Discounts, subscriptions, credits, and multi-currency</t>
  </si>
  <si>
    <t>Configure discounts/promotions, monthly recurring fees, and energy credits; validate multi-currency and tax/VAT handling.</t>
  </si>
  <si>
    <t>Commercial programs are supported and audited; currency/tax rules apply correctly.</t>
  </si>
  <si>
    <t>Promo config; invoice example; currency settings; tax breakdown.</t>
  </si>
  <si>
    <t>8.22, 8.23, 8.24, 8.26</t>
  </si>
  <si>
    <t>F-103</t>
  </si>
  <si>
    <t>Charging limits (max kW / max time) enforcement</t>
  </si>
  <si>
    <t>Set per-tariff or per-user charging limits and validate enforcement on a live session.</t>
  </si>
  <si>
    <t>Limits are enforced reliably; user messaging and logs are present.</t>
  </si>
  <si>
    <t>Limit configuration; session behavior; logs.</t>
  </si>
  <si>
    <t>8.19</t>
  </si>
  <si>
    <t>F-104</t>
  </si>
  <si>
    <t>9. Roaming</t>
  </si>
  <si>
    <t>Roaming connectivity (connect to hubs/partners quickly)</t>
  </si>
  <si>
    <t>Review how new roaming partners are onboarded (OCPI direct, hubs). Validate configuration workflow and required credentials.</t>
  </si>
  <si>
    <t>Onboarding process is documented, repeatable, and supports multiple partners; environments (test/prod) supported.</t>
  </si>
  <si>
    <t>Onboarding guide; configuration screenshots; partner list.</t>
  </si>
  <si>
    <t>9.1</t>
  </si>
  <si>
    <t>F-105</t>
  </si>
  <si>
    <t>Roaming protocol coverage and version support</t>
  </si>
  <si>
    <t>Ask vendor to list supported roaming protocols and versions (e.g., OCPI) and demonstrate interoperability testing approach.</t>
  </si>
  <si>
    <t>Supported protocols/versions are clear; upgrade strategy exists; backward compatibility plan is defined.</t>
  </si>
  <si>
    <t>Supported protocol matrix; release notes; upgrade process documentation.</t>
  </si>
  <si>
    <t>9.3, 9.4</t>
  </si>
  <si>
    <t>F-106</t>
  </si>
  <si>
    <t>Operate as CPO and eMSP (dual-role operations)</t>
  </si>
  <si>
    <t>Demonstrate configuration and workflows for operating as CPO (export locations/EVSEs) and as eMSP (import partner locations, token auth).</t>
  </si>
  <si>
    <t>System can operate in required role(s) without workarounds; data separation is maintained.</t>
  </si>
  <si>
    <t>Role configuration; sample partner data; token auth logs.</t>
  </si>
  <si>
    <t>9.6, 4.1.4</t>
  </si>
  <si>
    <t>F-107</t>
  </si>
  <si>
    <t>Roaming tariffs per partner and customer transparency</t>
  </si>
  <si>
    <t>Configure different roaming tariffs per partner and validate display to customer before/during/after session where required.</t>
  </si>
  <si>
    <t>Tariffs can be configured by partner; transparency obligations can be met (incl CTEP where relevant).</t>
  </si>
  <si>
    <t>Tariff settings; session receipt; charger HMI/tariff display evidence (if applicable).</t>
  </si>
  <si>
    <t>9.7, 10.3.7</t>
  </si>
  <si>
    <t>F-108</t>
  </si>
  <si>
    <t>Roaming session reconciliation and settlement</t>
  </si>
  <si>
    <t>Walk through reconciliation/settlement process: CDR exchange, dispute handling, and financial settlement reporting.</t>
  </si>
  <si>
    <t>Reconciliation is systematic; exceptions are flagged; settlement reports are available.</t>
  </si>
  <si>
    <t>Settlement report; exception workflow; CDR samples.</t>
  </si>
  <si>
    <t>9.8, 2.3.6</t>
  </si>
  <si>
    <t>F-109</t>
  </si>
  <si>
    <t>Roaming monitoring dashboard and detailed logs</t>
  </si>
  <si>
    <t>Review centralized dashboard for roaming sessions (status, failures) and ability to access detailed per-session logs.</t>
  </si>
  <si>
    <t>Operational visibility exists; failures are actionable; logs support audits.</t>
  </si>
  <si>
    <t>Dashboard screenshots; sample session log export.</t>
  </si>
  <si>
    <t>9.9, 9.10</t>
  </si>
  <si>
    <t>F-110</t>
  </si>
  <si>
    <t>10. Driver Invoice Payment</t>
  </si>
  <si>
    <t>10.1 Driver payment options</t>
  </si>
  <si>
    <t>Supported payment options (cards, wallets, app, roaming billing)</t>
  </si>
  <si>
    <t>Demonstrate accepted payment methods including cards, Apple/Google Pay, in-app payments, and roaming billing flows.</t>
  </si>
  <si>
    <t>Payment method matrix is clear; at least one end-to-end payment is demonstrated; roaming billing is supported if required.</t>
  </si>
  <si>
    <t>Payment method list; demo receipts; gateway configuration.</t>
  </si>
  <si>
    <t>10.1.1</t>
  </si>
  <si>
    <t>F-111</t>
  </si>
  <si>
    <t>Billing models (prepaid, pay-as-you-go, postpaid invoicing)</t>
  </si>
  <si>
    <t>Configure and test prepaid top-up, immediate payment, and monthly postpaid invoicing for drivers.</t>
  </si>
  <si>
    <t>Each model is supported; transitions and edge cases are handled; invoices are generated correctly.</t>
  </si>
  <si>
    <t>Plan configuration; invoice examples; wallet balances.</t>
  </si>
  <si>
    <t>10.1.2, 10.2.3</t>
  </si>
  <si>
    <t>F-112</t>
  </si>
  <si>
    <t>10.2 Driver Billing Models and Payment Flows</t>
  </si>
  <si>
    <t>Automatic invoice payment (in-app + customer support assisted)</t>
  </si>
  <si>
    <t>Generate an invoice and pay automatically in-app; validate CS-assisted payment flow and audit logging.</t>
  </si>
  <si>
    <t>Invoices can be paid via app and CS; payments are reconciled; audit trail exists.</t>
  </si>
  <si>
    <t>Invoice status before/after; payment confirmation; audit log.</t>
  </si>
  <si>
    <t>10.2.1</t>
  </si>
  <si>
    <t>F-113</t>
  </si>
  <si>
    <t>Prepaid auto top-up on insufficient funds</t>
  </si>
  <si>
    <t>With prepaid plan, attempt session with low balance and validate auto top-up/transfer behavior and failure handling.</t>
  </si>
  <si>
    <t>Auto top-up triggers per configured threshold; failures are handled gracefully; user notified.</t>
  </si>
  <si>
    <t>Top-up settings; gateway/bank transfer logs; notifications.</t>
  </si>
  <si>
    <t>10.2.2</t>
  </si>
  <si>
    <t>F-114</t>
  </si>
  <si>
    <t>Balance/statement visibility for drivers</t>
  </si>
  <si>
    <t>Verify drivers can view available balances and transaction history in app/portal.</t>
  </si>
  <si>
    <t>Balance is accurate and updates in near real-time; history is exportable if required.</t>
  </si>
  <si>
    <t>Screenshots; sample export.</t>
  </si>
  <si>
    <t>10.2.4</t>
  </si>
  <si>
    <t>F-115</t>
  </si>
  <si>
    <t>10.3 Customer Account Management &amp; Dispute Resolution</t>
  </si>
  <si>
    <t>Invoice dispute workflow (review logs, refunds/credits)</t>
  </si>
  <si>
    <t>Create a dispute for an invoice, review detailed session logs as CS, and issue refund/credit.</t>
  </si>
  <si>
    <t>Dispute can be logged and tracked; CS has necessary evidence; refunds/credits are auditable.</t>
  </si>
  <si>
    <t>Dispute record; refund/credit note; session logs.</t>
  </si>
  <si>
    <t>10.3.1</t>
  </si>
  <si>
    <t>F-116</t>
  </si>
  <si>
    <t>Adjustments: cancel invoice, write-off, third-party payer / sponsorship</t>
  </si>
  <si>
    <t>Demonstrate manual cancel/write-off, and one customer paying for another or sponsor/OEM-funded charging.</t>
  </si>
  <si>
    <t>Adjustments are controlled by role; accounting is correct; audit trail exists.</t>
  </si>
  <si>
    <t>Adjustment screens; audit logs; invoice examples.</t>
  </si>
  <si>
    <t>10.3.2, 10.3.3, 10.3.4, 10.3.5</t>
  </si>
  <si>
    <t>F-117</t>
  </si>
  <si>
    <t>10.4 Payment Methods &amp; Integration</t>
  </si>
  <si>
    <t>Payment gateway and payment terminal integrations</t>
  </si>
  <si>
    <t>Show supported gateways out-of-box (e.g., Stripe/Adyen) and support for terminals (Payter/Nayax/etc).</t>
  </si>
  <si>
    <t>Integrations exist and are documented; certification/compliance considerations are clear.</t>
  </si>
  <si>
    <t>Gateway list; terminal integration doc; architecture diagram.</t>
  </si>
  <si>
    <t>10.4.1, 10.3.6</t>
  </si>
  <si>
    <t>F-118</t>
  </si>
  <si>
    <t>CTEP / tariff display transparency compliance</t>
  </si>
  <si>
    <t>Demonstrate how tariffs are displayed before/during/after session on charger HMI (if supported) and in receipts.</t>
  </si>
  <si>
    <t>Tariff transparency requirements can be met; receipts include required information.</t>
  </si>
  <si>
    <t>HMI screen photos/simulator; detailed receipt sample.</t>
  </si>
  <si>
    <t>10.3.7</t>
  </si>
  <si>
    <t>F-119</t>
  </si>
  <si>
    <t>11. Reporting and Analytics</t>
  </si>
  <si>
    <t>Transaction and revenue reporting (trend + detail)</t>
  </si>
  <si>
    <t>Generate transaction and revenue reports with trend views over time and drill-down to sessions/invoices.</t>
  </si>
  <si>
    <t>Reports are accurate; support filtering and export; reconciles with billing totals.</t>
  </si>
  <si>
    <t>Sample report exports; reconciliation evidence.</t>
  </si>
  <si>
    <t>11.1, 11.2</t>
  </si>
  <si>
    <t>F-120</t>
  </si>
  <si>
    <t>Segmentation and breakdown reporting (site, charger, customer, tariff)</t>
  </si>
  <si>
    <t>Filter reports by site/charger/customer/tariff and show breakdowns (payment methods, customer groups).</t>
  </si>
  <si>
    <t>Segmentation works; performance is acceptable; exports preserve filters.</t>
  </si>
  <si>
    <t>Filtered report screenshots; export file.</t>
  </si>
  <si>
    <t>11.3, 11.6</t>
  </si>
  <si>
    <t>F-121</t>
  </si>
  <si>
    <t>Faults and uptime reporting</t>
  </si>
  <si>
    <t>Generate reports for charger faults, availability, MTTR, and uptime by model/site.</t>
  </si>
  <si>
    <t>Fault reports align with alerting system; key KPIs available.</t>
  </si>
  <si>
    <t>Fault report; raw fault log reference.</t>
  </si>
  <si>
    <t>11.4, 1.5.5</t>
  </si>
  <si>
    <t>F-122</t>
  </si>
  <si>
    <t>Ticket/issue reporting</t>
  </si>
  <si>
    <t>Report on issues/tickets (if integrated) including trends, SLA metrics, and categories.</t>
  </si>
  <si>
    <t>Issue reporting is available or can be integrated; exports supported.</t>
  </si>
  <si>
    <t>Issue report; ticketing integration evidence.</t>
  </si>
  <si>
    <t>11.5, 1.5.11</t>
  </si>
  <si>
    <t>F-123</t>
  </si>
  <si>
    <t>GHG savings / sustainability reporting</t>
  </si>
  <si>
    <t>Generate GHG saved report and validate methodology/assumptions are configurable or documented.</t>
  </si>
  <si>
    <t>GHG calculations are transparent; results can be exported and audited.</t>
  </si>
  <si>
    <t>GHG report; methodology documentation.</t>
  </si>
  <si>
    <t>11.7</t>
  </si>
  <si>
    <t>F-124</t>
  </si>
  <si>
    <t>12. User Interface</t>
  </si>
  <si>
    <t>Responsive admin/driver portals (mobile-friendly UI)</t>
  </si>
  <si>
    <t>Verify the web portals (admin + driver) are responsive and usable on tablet/mobile resolutions.</t>
  </si>
  <si>
    <t>Core workflows are usable on common form factors; no critical layout breaks.</t>
  </si>
  <si>
    <t>Screenshots at multiple resolutions; supported browser list.</t>
  </si>
  <si>
    <t>12.1</t>
  </si>
  <si>
    <t>F-125</t>
  </si>
  <si>
    <t>Localization and multi-language support</t>
  </si>
  <si>
    <t>Switch UI language(s) and validate localization of key flows, currencies, date/time formats.</t>
  </si>
  <si>
    <t>Languages are supported as required; translations cover core workflows; fallback behavior defined.</t>
  </si>
  <si>
    <t>Language settings; localized screenshots.</t>
  </si>
  <si>
    <t>12.2, 8.26</t>
  </si>
  <si>
    <t>F-126</t>
  </si>
  <si>
    <t>Driver UX for start/stop/reserve/status</t>
  </si>
  <si>
    <t>Validate drivers can start/stop/reserve and view charger status with minimal steps; measure steps/clicks.</t>
  </si>
  <si>
    <t>UX is intuitive; key actions are discoverable; errors are actionable.</t>
  </si>
  <si>
    <t>Screen recording; step count; UX notes.</t>
  </si>
  <si>
    <t>12.3, 6.3.7, 7.1</t>
  </si>
  <si>
    <t>F-127</t>
  </si>
  <si>
    <t>User notifications (timely and actionable)</t>
  </si>
  <si>
    <t>Trigger key events (reservation reminder, charge completed, fault affecting session) and validate notification channels.</t>
  </si>
  <si>
    <t>Notifications are timely; user can manage preferences; content is clear.</t>
  </si>
  <si>
    <t>Notification samples; settings screen.</t>
  </si>
  <si>
    <t>12.4, 6.4.2</t>
  </si>
  <si>
    <t>F-128</t>
  </si>
  <si>
    <t>Customizable dashboards and widgets</t>
  </si>
  <si>
    <t>Customize dashboard widgets/KPIs for different roles and validate saved views and sharing.</t>
  </si>
  <si>
    <t>Dashboards are configurable; role-based defaults exist; exports available.</t>
  </si>
  <si>
    <t>Dashboard config screenshots; saved view list.</t>
  </si>
  <si>
    <t>12.5</t>
  </si>
  <si>
    <t>F-129</t>
  </si>
  <si>
    <t>Integration/embedding with partner portals</t>
  </si>
  <si>
    <t>Review how the UI can be embedded or integrated into partner portals (SSO, iframe/widgets, APIs).</t>
  </si>
  <si>
    <t>Integration options exist; security implications are addressed; documentation is available.</t>
  </si>
  <si>
    <t>Integration doc; SSO setup evidence; API references.</t>
  </si>
  <si>
    <t>12.6, 13.6.1, 16.1</t>
  </si>
  <si>
    <t>F-130</t>
  </si>
  <si>
    <t>13. Access Control</t>
  </si>
  <si>
    <t>13.1 Role-Based Access Control (RBAC)</t>
  </si>
  <si>
    <t>RBAC for operational roles and data scoping</t>
  </si>
  <si>
    <t>Create roles (e.g., Operator, Support, Admin) and validate each role sees only allowed data/actions across sites/groups.</t>
  </si>
  <si>
    <t>RBAC works end-to-end; data scoping is enforced across UI and API; no privilege escalation.</t>
  </si>
  <si>
    <t>Role matrix; access tests; audit logs.</t>
  </si>
  <si>
    <t>13.1.1, 1.4.3</t>
  </si>
  <si>
    <t>F-131</t>
  </si>
  <si>
    <t>13.2 Granular permission management</t>
  </si>
  <si>
    <t>Fine-grained permissions for sensitive actions</t>
  </si>
  <si>
    <t>Restrict sensitive actions (refunds, tariff changes, firmware updates) and validate approval/2-person controls if available.</t>
  </si>
  <si>
    <t>Sensitive actions require explicit permissions; restrictions are enforced and logged.</t>
  </si>
  <si>
    <t>Permission settings; denied attempt; audit entry.</t>
  </si>
  <si>
    <t>13.2.1, 13.2.2, 10.3.2</t>
  </si>
  <si>
    <t>F-132</t>
  </si>
  <si>
    <t>13.3 Multi-Factor Authentication</t>
  </si>
  <si>
    <t>Multi-factor authentication for privileged users</t>
  </si>
  <si>
    <t>Enable MFA for admin accounts and validate enrollment, backup codes, and enforcement at login.</t>
  </si>
  <si>
    <t>MFA works reliably; admin can enforce policies; recovery process is secure.</t>
  </si>
  <si>
    <t>MFA policy screenshots; login evidence.</t>
  </si>
  <si>
    <t>13.3.1, 2.2</t>
  </si>
  <si>
    <t>F-133</t>
  </si>
  <si>
    <t>13.4 User and Group Management</t>
  </si>
  <si>
    <t>User and group management lifecycle</t>
  </si>
  <si>
    <t>Create/edit/delete users and groups; assign roles; test deactivation effects and audit logs.</t>
  </si>
  <si>
    <t>Lifecycle actions are supported; immediate effect; audit trail exists.</t>
  </si>
  <si>
    <t>User list; group config; audit logs.</t>
  </si>
  <si>
    <t>13.4.1, 13.7.1</t>
  </si>
  <si>
    <t>F-134</t>
  </si>
  <si>
    <t>13.5 Audit Logging and Traceability</t>
  </si>
  <si>
    <t>Audit logging for user actions</t>
  </si>
  <si>
    <t>Perform critical actions and confirm audit logs capture who/when/what and are searchable/exportable.</t>
  </si>
  <si>
    <t>Logs are complete and immutable; exports available.</t>
  </si>
  <si>
    <t>Audit log export; example entries.</t>
  </si>
  <si>
    <t>13.5.1, 17.1, 17.3</t>
  </si>
  <si>
    <t>F-135</t>
  </si>
  <si>
    <t>13.6 Integration with Identity Providers</t>
  </si>
  <si>
    <t>SSO integration (SAML/OIDC) with IdP</t>
  </si>
  <si>
    <t>Integrate with an IdP (e.g., Azure AD/Okta) using SAML or OIDC and validate role mapping and deprovisioning.</t>
  </si>
  <si>
    <t>SSO works; role mapping exists; deprovisioning/revocation is immediate.</t>
  </si>
  <si>
    <t>SSO setup doc; login test; deprovisioning evidence.</t>
  </si>
  <si>
    <t>13.6.1, 2.1</t>
  </si>
  <si>
    <t>F-136</t>
  </si>
  <si>
    <t>14. Hierarchy Definition</t>
  </si>
  <si>
    <t>Hierarchy / multi-tenant data model (host → site → EVSE)</t>
  </si>
  <si>
    <t>Configure a hierarchy (hosts, sub-operators, sites) and validate data separation and inheritance of settings.</t>
  </si>
  <si>
    <t>Hierarchy supports required levels; settings can inherit/override; no data leakage.</t>
  </si>
  <si>
    <t>Hierarchy configuration screenshots; access tests.</t>
  </si>
  <si>
    <t>14.1, 14.3, 14.5, 14.6</t>
  </si>
  <si>
    <t>F-137</t>
  </si>
  <si>
    <t>Role assignment and permissions at hierarchy levels</t>
  </si>
  <si>
    <t>Assign roles scoped to a host, region, or site and validate the user only sees data for that scope.</t>
  </si>
  <si>
    <t>Scope-based permissions enforced; supports delegated administration.</t>
  </si>
  <si>
    <t>Role assignments; access denied evidence; audit log.</t>
  </si>
  <si>
    <t>14.2, 13.1.1</t>
  </si>
  <si>
    <t>F-138</t>
  </si>
  <si>
    <t>Aggregated reporting across hierarchy levels</t>
  </si>
  <si>
    <t>Generate aggregated reports at host/region level and drill down to sites/EVSEs.</t>
  </si>
  <si>
    <t>Aggregation is accurate and performant; exports available.</t>
  </si>
  <si>
    <t>Report screenshots; export files.</t>
  </si>
  <si>
    <t>14.4, 11.3</t>
  </si>
  <si>
    <t>F-139</t>
  </si>
  <si>
    <t>APIs for hierarchy management (CRUD)</t>
  </si>
  <si>
    <t>Use APIs to create/update hierarchy nodes and validate role scoping and audit logging.</t>
  </si>
  <si>
    <t>APIs exist and are secure; operations are audited; documentation is sufficient.</t>
  </si>
  <si>
    <t>API calls/responses; audit log entries; API docs.</t>
  </si>
  <si>
    <t>14.7, 16.1</t>
  </si>
  <si>
    <t>F-140</t>
  </si>
  <si>
    <t>15. Fleet EV Charging Management</t>
  </si>
  <si>
    <t>Fleet roles and permissions (owner/admin/driver)</t>
  </si>
  <si>
    <t>Demonstrate fleet account setup and roles (owner, admin, driver) with appropriate permissions and data visibility.</t>
  </si>
  <si>
    <t>Roles are available and configurable; RBAC enforced across fleet entities.</t>
  </si>
  <si>
    <t>Fleet role matrix; UI screenshots; access tests.</t>
  </si>
  <si>
    <t>15.1, 15.2, 15.3, 15.4</t>
  </si>
  <si>
    <t>F-141</t>
  </si>
  <si>
    <t>Fleet driver management (self-service + admin)</t>
  </si>
  <si>
    <t>Add/remove fleet drivers, manage driver access, and test driver self-service capabilities.</t>
  </si>
  <si>
    <t>Driver lifecycle is supported; self-service reduces admin load; actions are audited.</t>
  </si>
  <si>
    <t>Driver list; self-service screens; audit logs.</t>
  </si>
  <si>
    <t>15.5, 15.6, 15.7, 15.8</t>
  </si>
  <si>
    <t>F-142</t>
  </si>
  <si>
    <t>Fleet vehicle management and association to drivers</t>
  </si>
  <si>
    <t>Create vehicles, associate to drivers, and validate vehicle-level reporting and charging policies.</t>
  </si>
  <si>
    <t>Vehicle entities exist; associations work; policies can target vehicle/driver groups.</t>
  </si>
  <si>
    <t>Vehicle registry; association screens; policy example.</t>
  </si>
  <si>
    <t>15.9, 15.10</t>
  </si>
  <si>
    <t>F-143</t>
  </si>
  <si>
    <t>Fleet token management (driver/vehicle tokens)</t>
  </si>
  <si>
    <t>Assign tokens to drivers and vehicles; validate priority/auth behavior and revocation.</t>
  </si>
  <si>
    <t>Tokens are manageable; attribution correct; revocation immediate.</t>
  </si>
  <si>
    <t>Token registry; test session attribution; revocation evidence.</t>
  </si>
  <si>
    <t>15.11, 15.12, 15.13</t>
  </si>
  <si>
    <t>F-144</t>
  </si>
  <si>
    <t>Depot charging scheduling and orchestration</t>
  </si>
  <si>
    <t>Demonstrate depot scheduling based on departure time/SoC targets and site constraints; show queueing/optimization if supported.</t>
  </si>
  <si>
    <t>Scheduling can be configured; constraints enforced; outcomes are explainable and auditable.</t>
  </si>
  <si>
    <t>Schedule view; optimization output; power traces.</t>
  </si>
  <si>
    <t>15.14, 3.1.5, 3.4.1</t>
  </si>
  <si>
    <t>F-145</t>
  </si>
  <si>
    <t>Home charging reimbursement and expense allocation</t>
  </si>
  <si>
    <t>Show how employee home charging can be reimbursed and costs allocated to fleet/company accounts.</t>
  </si>
  <si>
    <t>Reimbursement rules exist; reports and exports available; audit trail present.</t>
  </si>
  <si>
    <t>Reimbursement report; rule config; export file.</t>
  </si>
  <si>
    <t>15.15</t>
  </si>
  <si>
    <t>F-146</t>
  </si>
  <si>
    <t>Charging limits / stop conditions (prevent overcharging)</t>
  </si>
  <si>
    <t>Configure stop-at-SoC or stop-at-time rules and validate charging stops accordingly.</t>
  </si>
  <si>
    <t>Stop conditions are enforced; user/driver messaging exists; exceptions handled.</t>
  </si>
  <si>
    <t>Policy config; session evidence; logs.</t>
  </si>
  <si>
    <t>15.18, 15.19</t>
  </si>
  <si>
    <t>F-147</t>
  </si>
  <si>
    <t>16. API</t>
  </si>
  <si>
    <t>API coverage for core objects and operations</t>
  </si>
  <si>
    <t>Review API scope: customers, sites, chargers, sessions, tariffs, invoices, reservations. Confirm parity with UI operations.</t>
  </si>
  <si>
    <t>APIs cover all key operations; gaps are documented with roadmap.</t>
  </si>
  <si>
    <t>API endpoint list; coverage matrix; docs.</t>
  </si>
  <si>
    <t>16.1</t>
  </si>
  <si>
    <t>F-148</t>
  </si>
  <si>
    <t>Customer/driver and token management via API</t>
  </si>
  <si>
    <t>Create/update driver accounts and manage tokens via API; validate permissions and audit logging.</t>
  </si>
  <si>
    <t>APIs exist; auth scopes limit access; operations are audited.</t>
  </si>
  <si>
    <t>API calls; auth scopes; audit logs.</t>
  </si>
  <si>
    <t>16.2, 4.2.7</t>
  </si>
  <si>
    <t>F-149</t>
  </si>
  <si>
    <t>Charger/site provisioning and batch operations via API</t>
  </si>
  <si>
    <t>Provision chargers/sites via API and test batch upload/import with validation and error reporting.</t>
  </si>
  <si>
    <t>Batch operations supported; errors are actionable; idempotency supported.</t>
  </si>
  <si>
    <t>Batch upload template; API responses; error report.</t>
  </si>
  <si>
    <t>16.3, 16.8</t>
  </si>
  <si>
    <t>F-150</t>
  </si>
  <si>
    <t>Billing and tariff management via API</t>
  </si>
  <si>
    <t>Create/update tariffs and billing settings via API and validate effect on rating of a test session.</t>
  </si>
  <si>
    <t>Tariff APIs exist; changes versioned; rating updates correctly.</t>
  </si>
  <si>
    <t>API payloads; rated session; audit logs.</t>
  </si>
  <si>
    <t>16.4, 8.2</t>
  </si>
  <si>
    <t>F-151</t>
  </si>
  <si>
    <t>Events/webhooks for operational and billing events</t>
  </si>
  <si>
    <t>Subscribe to events (charger status, session start/stop, payments, faults) and validate webhook delivery and retries.</t>
  </si>
  <si>
    <t>Events are comprehensive; delivery reliable with retry/backoff; signatures/verification supported.</t>
  </si>
  <si>
    <t>Webhook payload samples; delivery logs; retry evidence.</t>
  </si>
  <si>
    <t>16.7, 1.5.4</t>
  </si>
  <si>
    <t>F-152</t>
  </si>
  <si>
    <t>API security, rate limits, and documentation quality</t>
  </si>
  <si>
    <t>Validate API authentication (OAuth2/API keys), RBAC scopes, rate limits, IP allowlisting, and documentation (OpenAPI/Swagger).</t>
  </si>
  <si>
    <t>Security controls exist; docs enable integration without vendor assistance; sandbox available if possible.</t>
  </si>
  <si>
    <t>OpenAPI spec; security settings; rate limit docs.</t>
  </si>
  <si>
    <t>16.11, 16.12</t>
  </si>
  <si>
    <t>F-153</t>
  </si>
  <si>
    <t>17. Logging and Audit Trail</t>
  </si>
  <si>
    <t>Audit log content (who/when/what) and coverage</t>
  </si>
  <si>
    <t>Perform key actions (tariff change, refund, role change, firmware update) and verify audit log captures user/time/object/action.</t>
  </si>
  <si>
    <t>Audit logs are complete across modules; searchable by user/object/action.</t>
  </si>
  <si>
    <t>Audit log exports; sample entries.</t>
  </si>
  <si>
    <t>17.1, 17.6</t>
  </si>
  <si>
    <t>F-154</t>
  </si>
  <si>
    <t>Log immutability and tamper protection</t>
  </si>
  <si>
    <t>Ask vendor to explain immutability approach (WORM storage, append-only) and demonstrate controls preventing edits.</t>
  </si>
  <si>
    <t>Logs are protected; admin cannot alter without trace; integrity controls documented.</t>
  </si>
  <si>
    <t>Security docs; admin UI evidence; integrity checks.</t>
  </si>
  <si>
    <t>17.2</t>
  </si>
  <si>
    <t>F-155</t>
  </si>
  <si>
    <t>Log search, export, and scheduled reporting</t>
  </si>
  <si>
    <t>Search logs with filters, export results, and schedule periodic log/audit reports to recipients.</t>
  </si>
  <si>
    <t>Search performance acceptable; exports usable; scheduling works and is permission-controlled.</t>
  </si>
  <si>
    <t>Search UI; export file; scheduled report config.</t>
  </si>
  <si>
    <t>17.3, 17.7</t>
  </si>
  <si>
    <t>F-156</t>
  </si>
  <si>
    <t>Configurable log routing/retention</t>
  </si>
  <si>
    <t>Configure retention periods and (if supported) route logs to SIEM (Splunk/ELK) or storage.</t>
  </si>
  <si>
    <t>Retention is configurable; routing/integration exists; privacy considerations addressed.</t>
  </si>
  <si>
    <t>Retention settings; SIEM integration proof; sample forwarded log.</t>
  </si>
  <si>
    <t>17.4</t>
  </si>
  <si>
    <t>F-157</t>
  </si>
  <si>
    <t>Alerting on suspicious events and compliance support</t>
  </si>
  <si>
    <t>Trigger suspicious patterns (multiple failed logins, unusual admin activity) and validate alerts; review compliance mappings (ISO/SOC2/GDPR).</t>
  </si>
  <si>
    <t>Alerts trigger; thresholds configurable; compliance evidence available.</t>
  </si>
  <si>
    <t>Alert configuration; sample alert; compliance documentation.</t>
  </si>
  <si>
    <t>17.5, 17.8</t>
  </si>
  <si>
    <t>NF-001</t>
  </si>
  <si>
    <t>1.Certifications, governance, and privacy compliance</t>
  </si>
  <si>
    <t>Security certifications (ISO 27001) and scope</t>
  </si>
  <si>
    <t>Request ISO 27001 certificate and Statement of Applicability; confirm scope includes CPMS service and supporting processes.</t>
  </si>
  <si>
    <t>Valid certificate; scope is relevant; audit date is current; exceptions/controls are understood.</t>
  </si>
  <si>
    <t>ISO certificate; SoA summary; audit report executive summary (if shareable).</t>
  </si>
  <si>
    <t>1.1</t>
  </si>
  <si>
    <t>NF-002</t>
  </si>
  <si>
    <t>SOC reports (SOC 1 / SOC 2) availability</t>
  </si>
  <si>
    <t>Request SOC 1 and/or SOC 2 Type 2 report (preferred). Validate coverage of security, availability, confidentiality.</t>
  </si>
  <si>
    <t>Recent SOC report exists; exceptions have remediation plan; customer can review under NDA.</t>
  </si>
  <si>
    <t>SOC report cover letter; bridge letter; remediation plan.</t>
  </si>
  <si>
    <t>1.2, 1.3</t>
  </si>
  <si>
    <t>NF-003</t>
  </si>
  <si>
    <t>Cybersecurity governance program</t>
  </si>
  <si>
    <t>Review vendor security program: policies, risk management, third-party risk, security training.</t>
  </si>
  <si>
    <t>Documented program exists; roles/responsibilities defined; evidence of regular reviews.</t>
  </si>
  <si>
    <t>Security policy index; org chart; training metrics.</t>
  </si>
  <si>
    <t>Docs + Interview</t>
  </si>
  <si>
    <t>1.4</t>
  </si>
  <si>
    <t>NF-004</t>
  </si>
  <si>
    <t>2. Security - Identity &amp; Access Management</t>
  </si>
  <si>
    <t>SSO integration (SAML/OIDC)</t>
  </si>
  <si>
    <t>Validate SSO support and test with a standard IdP in a sandbox (Okta/Azure AD).</t>
  </si>
  <si>
    <t>SSO works; supports JIT provisioning or SCIM; role mapping supported.</t>
  </si>
  <si>
    <t>SSO config guide; test login evidence; SCIM docs.</t>
  </si>
  <si>
    <t>2.1</t>
  </si>
  <si>
    <t>NF-005</t>
  </si>
  <si>
    <t>MFA support and policy enforcement</t>
  </si>
  <si>
    <t>Validate MFA methods (TOTP, push, SMS) and ability to enforce MFA for privileged roles.</t>
  </si>
  <si>
    <t>MFA is available and enforceable; recovery controls are secure.</t>
  </si>
  <si>
    <t>MFA policy settings; enrollment evidence; recovery process description.</t>
  </si>
  <si>
    <t>2.2</t>
  </si>
  <si>
    <t>NF-006</t>
  </si>
  <si>
    <t>RBAC and least-privilege model</t>
  </si>
  <si>
    <t>Review RBAC model and test permission boundaries for admin, operator, support roles.</t>
  </si>
  <si>
    <t>Least-privilege achievable; permissions are granular; audit trail exists.</t>
  </si>
  <si>
    <t>Role matrix; access test results; audit logs.</t>
  </si>
  <si>
    <t>2.3</t>
  </si>
  <si>
    <t>NF-007</t>
  </si>
  <si>
    <t>Password policy and account protections</t>
  </si>
  <si>
    <t>Review password policy controls (length/complexity/history/expiry) and brute-force protections (lockout, rate limiting).</t>
  </si>
  <si>
    <t>Password policy configurable; protections in place; aligns with company policy.</t>
  </si>
  <si>
    <t>Security settings screenshots; policy docs.</t>
  </si>
  <si>
    <t>2.4</t>
  </si>
  <si>
    <t>NF-008</t>
  </si>
  <si>
    <t>IP allowlisting for sensitive roles</t>
  </si>
  <si>
    <t>Validate ability to restrict admin access by IP ranges and log violations.</t>
  </si>
  <si>
    <t>IP restrictions enforce properly; audit logs show blocked attempts.</t>
  </si>
  <si>
    <t>IP allowlist config; blocked login evidence.</t>
  </si>
  <si>
    <t>2.5</t>
  </si>
  <si>
    <t>NF-009</t>
  </si>
  <si>
    <t>3. Security - Systems Monitoring</t>
  </si>
  <si>
    <t>Security event logging coverage</t>
  </si>
  <si>
    <t>Review which events are logged (auth, admin actions, exceptions, firmware changes) and how logs are protected.</t>
  </si>
  <si>
    <t>Comprehensive logging; integrity protections; access controls.</t>
  </si>
  <si>
    <t>Logging specification; sample logs; access control description.</t>
  </si>
  <si>
    <t>3.1</t>
  </si>
  <si>
    <t>NF-010</t>
  </si>
  <si>
    <t>Log retention and review process</t>
  </si>
  <si>
    <t>Confirm retention periods and review cadence; validate time synchronization strategy (NTP).</t>
  </si>
  <si>
    <t>Retention meets requirements; reviews occur; time sync is consistent.</t>
  </si>
  <si>
    <t>Retention policy; NTP architecture; audit evidence of reviews.</t>
  </si>
  <si>
    <t>3.2, 3.3</t>
  </si>
  <si>
    <t>NF-011</t>
  </si>
  <si>
    <t>Monitoring and alerting (exceptions, degradation)</t>
  </si>
  <si>
    <t>Walk through monitoring stack (APM, metrics, alerts) and demonstrate alert routing and escalation.</t>
  </si>
  <si>
    <t>Monitoring detects degradations; alerts are actionable; on-call process exists.</t>
  </si>
  <si>
    <t>Monitoring dashboard screenshots; sample alert; runbook.</t>
  </si>
  <si>
    <t>Demo + Interview</t>
  </si>
  <si>
    <t>3.4</t>
  </si>
  <si>
    <t>NF-012</t>
  </si>
  <si>
    <t>4. Network Security</t>
  </si>
  <si>
    <t>Network hardening standards</t>
  </si>
  <si>
    <t>Review baseline configuration standards for network devices and how changes are controlled.</t>
  </si>
  <si>
    <t>Hardened baselines exist; changes are approved and auditable.</t>
  </si>
  <si>
    <t>Network baseline docs; change control evidence.</t>
  </si>
  <si>
    <t>4.1</t>
  </si>
  <si>
    <t>NF-013</t>
  </si>
  <si>
    <t>Perimeter protections and DDoS mitigation</t>
  </si>
  <si>
    <t>Validate perimeter security controls (WAF, DDoS protection) and incident playbooks for DoS attacks.</t>
  </si>
  <si>
    <t>DDoS mitigation in place; capacity and response plan documented.</t>
  </si>
  <si>
    <t>Architecture diagram; provider details; playbook.</t>
  </si>
  <si>
    <t>4.2</t>
  </si>
  <si>
    <t>NF-014</t>
  </si>
  <si>
    <t>Data center / cloud physical security and SLAs</t>
  </si>
  <si>
    <t>Confirm hosting model (cloud/on-prem), data center certifications, and SLAs from cloud providers.</t>
  </si>
  <si>
    <t>Hosting provider certifications available; responsibilities defined; SLAs documented.</t>
  </si>
  <si>
    <t>Cloud provider attestation; SLA documents; shared responsibility model.</t>
  </si>
  <si>
    <t>4.3</t>
  </si>
  <si>
    <t>NF-015</t>
  </si>
  <si>
    <t>Charger physical tamper detection considerations</t>
  </si>
  <si>
    <t>Discuss EVSE physical security features and whether CPMS can ingest tamper/open-door signals.</t>
  </si>
  <si>
    <t>Approach is defined; supported events documented; operational workflow exists.</t>
  </si>
  <si>
    <t>Supported event list; example alert; integration notes.</t>
  </si>
  <si>
    <t>Interview + Docs</t>
  </si>
  <si>
    <t>4.4</t>
  </si>
  <si>
    <t>NF-016</t>
  </si>
  <si>
    <t>Local maintenance interface access controls</t>
  </si>
  <si>
    <t>Review how local EVSE maintenance access is controlled and logged (USB/serial/admin UI).</t>
  </si>
  <si>
    <t>Access paths documented; controls exist; access is traceable.</t>
  </si>
  <si>
    <t>Access procedure; logging evidence; security guidance.</t>
  </si>
  <si>
    <t>4.5</t>
  </si>
  <si>
    <t>NF-017</t>
  </si>
  <si>
    <t>5. Security - Vulnerability &amp; Patch Management</t>
  </si>
  <si>
    <t>Vulnerability management process</t>
  </si>
  <si>
    <t>Review vulnerability scanning approach (SAST/DAST, infra scans), triage SLAs, and remediation tracking.</t>
  </si>
  <si>
    <t>Regular scanning; defined remediation SLAs; tracked to closure.</t>
  </si>
  <si>
    <t>Vuln policy; sample remediation tickets; scan report summary.</t>
  </si>
  <si>
    <t>5.1, 5.2</t>
  </si>
  <si>
    <t>NF-018</t>
  </si>
  <si>
    <t>Patch management for OS, libraries, and dependencies</t>
  </si>
  <si>
    <t>Confirm patch cadence for OS and third-party libraries, including emergency patch procedures.</t>
  </si>
  <si>
    <t>Patch cadence defined; emergency process exists; customers notified of impactful changes.</t>
  </si>
  <si>
    <t>Patch policy; recent patch notes; notification templates.</t>
  </si>
  <si>
    <t>5.3, 5.4</t>
  </si>
  <si>
    <t>NF-019</t>
  </si>
  <si>
    <t>Penetration testing and independent assessments</t>
  </si>
  <si>
    <t>Request last penetration test summary and remediation status; confirm frequency.</t>
  </si>
  <si>
    <t>Annual (or defined) pen tests performed; findings remediated; retest evidence available.</t>
  </si>
  <si>
    <t>Pen test executive summary; remediation plan; attestation letter.</t>
  </si>
  <si>
    <t>5.5</t>
  </si>
  <si>
    <t>NF-020</t>
  </si>
  <si>
    <t>6. Backup policy</t>
  </si>
  <si>
    <t>Backup frequency, scope, and encryption</t>
  </si>
  <si>
    <t>Review backup schedules for databases and file stores; confirm encryption and access controls.</t>
  </si>
  <si>
    <t>Backups occur at defined frequency; encrypted; access restricted; monitoring in place.</t>
  </si>
  <si>
    <t>Backup policy; encryption details; access control evidence.</t>
  </si>
  <si>
    <t>6.1</t>
  </si>
  <si>
    <t>NF-021</t>
  </si>
  <si>
    <t>Restore testing and recovery procedures</t>
  </si>
  <si>
    <t>Ask vendor to provide evidence of periodic restore tests and recovery runbooks.</t>
  </si>
  <si>
    <t>Restore tests performed; RTO/RPO targets validated; runbooks exist.</t>
  </si>
  <si>
    <t>Restore test report; runbook; RTO/RPO metrics.</t>
  </si>
  <si>
    <t>6.2</t>
  </si>
  <si>
    <t>NF-022</t>
  </si>
  <si>
    <t>7. Cryptography</t>
  </si>
  <si>
    <t>TLS in transit and cipher standards</t>
  </si>
  <si>
    <t>Validate TLS versions/ciphers used for APIs, UI, OCPP connections, and internal services.</t>
  </si>
  <si>
    <t>TLS 1.2+ (prefer 1.3) supported; weak ciphers disabled; certificate management defined.</t>
  </si>
  <si>
    <t>TLS scan results; certificate rotation policy.</t>
  </si>
  <si>
    <t>Docs + POC</t>
  </si>
  <si>
    <t>7.1, 7.2</t>
  </si>
  <si>
    <t>NF-023</t>
  </si>
  <si>
    <t>Encryption at rest and key management</t>
  </si>
  <si>
    <t>Confirm encryption at rest for databases, logs, backups and key management approach (KMS/HSM).</t>
  </si>
  <si>
    <t>Encryption at rest enabled; keys rotated; access controlled; separation of duties.</t>
  </si>
  <si>
    <t>KMS/HSM architecture; rotation policy; configuration evidence.</t>
  </si>
  <si>
    <t>7.3, 7.4</t>
  </si>
  <si>
    <t>NF-024</t>
  </si>
  <si>
    <t>Secrets management for credentials and tokens</t>
  </si>
  <si>
    <t>Review secrets storage (vault), rotation, and audit for API keys, OAuth secrets, roaming credentials.</t>
  </si>
  <si>
    <t>Secrets are stored securely; rotation supported; access is audited.</t>
  </si>
  <si>
    <t>Secrets management doc; rotation runbook; audit logs.</t>
  </si>
  <si>
    <t>7.5</t>
  </si>
  <si>
    <t>NF-025</t>
  </si>
  <si>
    <t>8. SDLC -</t>
  </si>
  <si>
    <t>Secure SDLC and change control</t>
  </si>
  <si>
    <t>Review SDLC controls: requirements, code review, CI/CD gates, change approval, release notes.</t>
  </si>
  <si>
    <t>Documented SDLC; gated releases; change control records available.</t>
  </si>
  <si>
    <t>SDLC policy; sample PR review; release checklist.</t>
  </si>
  <si>
    <t>8.1, 8.2, 15.6</t>
  </si>
  <si>
    <t>NF-026</t>
  </si>
  <si>
    <t>Environment separation (dev/test/prod) and access controls</t>
  </si>
  <si>
    <t>Confirm separation and access controls across environments; review data masking policy for non-prod.</t>
  </si>
  <si>
    <t>Environments separated; least-privilege access; production data protected.</t>
  </si>
  <si>
    <t>Environment diagram; access control policy; masking procedure.</t>
  </si>
  <si>
    <t>8.3, 8.4</t>
  </si>
  <si>
    <t>NF-027</t>
  </si>
  <si>
    <t>Third-party component governance</t>
  </si>
  <si>
    <t>Review how open-source/third-party components are approved and monitored (SBOM).</t>
  </si>
  <si>
    <t>Component governance exists; SBOM available; vulnerability monitoring in place.</t>
  </si>
  <si>
    <t>SBOM sample; approval process; monitoring tooling.</t>
  </si>
  <si>
    <t>8.5, 8.6</t>
  </si>
  <si>
    <t>NF-028</t>
  </si>
  <si>
    <t>9. Secure development</t>
  </si>
  <si>
    <t>OWASP alignment and secure coding standards</t>
  </si>
  <si>
    <t>Confirm secure coding standards and OWASP Top 10 controls in web/mobile apps.</t>
  </si>
  <si>
    <t>Standards documented; training evidence; testing in place.</t>
  </si>
  <si>
    <t>Coding standards; training records; security test results.</t>
  </si>
  <si>
    <t>9.1, 9.2</t>
  </si>
  <si>
    <t>NF-029</t>
  </si>
  <si>
    <t>Application security testing (SAST/DAST) in CI/CD</t>
  </si>
  <si>
    <t>Review SAST/DAST tooling, coverage, and gating policy for critical findings.</t>
  </si>
  <si>
    <t>Automated security testing present; critical issues block release; remediation tracking exists.</t>
  </si>
  <si>
    <t>Tool screenshots; sample pipeline run; policy doc.</t>
  </si>
  <si>
    <t>NF-030</t>
  </si>
  <si>
    <t>Dependency and container security</t>
  </si>
  <si>
    <t>Validate dependency scanning, container image scanning, and signed artifacts (if applicable).</t>
  </si>
  <si>
    <t>Scanning in place; images hardened; vulnerabilities remediated.</t>
  </si>
  <si>
    <t>Scan reports; image hardening baseline; signing evidence.</t>
  </si>
  <si>
    <t>9.5, 9.6</t>
  </si>
  <si>
    <t>NF-031</t>
  </si>
  <si>
    <t>10-. Security - Incident Management</t>
  </si>
  <si>
    <t>Incident response plan, roles, and testing</t>
  </si>
  <si>
    <t>Request IR plan, designated IR team, and evidence of annual tabletop/exercises.</t>
  </si>
  <si>
    <t>IR plan exists; roles defined; exercises conducted with lessons learned.</t>
  </si>
  <si>
    <t>IR policy; exercise report; org roles.</t>
  </si>
  <si>
    <t>10.1, 10.2, 10.3</t>
  </si>
  <si>
    <t>NF-032</t>
  </si>
  <si>
    <t>Breach history and disclosure practices</t>
  </si>
  <si>
    <t>Ask about material security breaches and how customers are notified and supported.</t>
  </si>
  <si>
    <t>Transparent disclosure under NDA; notification SLAs defined; post-incident reports available.</t>
  </si>
  <si>
    <t>Disclosure statement; notification policy; sample postmortem template.</t>
  </si>
  <si>
    <t>10.4, 10.5</t>
  </si>
  <si>
    <t>NF-033</t>
  </si>
  <si>
    <t>Security monitoring (SIEM/XDR) and MTTR targets</t>
  </si>
  <si>
    <t>Confirm 24/7 monitoring capability and target response times for critical incidents.</t>
  </si>
  <si>
    <t>Monitoring coverage defined; MTTR targets documented; on-call escalation exists.</t>
  </si>
  <si>
    <t>SOC overview; MTTR/SLA metrics; escalation runbook.</t>
  </si>
  <si>
    <t>10.6, 10.7</t>
  </si>
  <si>
    <t>NF-034</t>
  </si>
  <si>
    <t>Cyber insurance coverage</t>
  </si>
  <si>
    <t>Confirm cybersecurity insurance coverage and what it includes (limits, exclusions).</t>
  </si>
  <si>
    <t>Coverage exists and is adequate for risk profile; proof of insurance provided.</t>
  </si>
  <si>
    <t>Insurance certificate; summary of coverage.</t>
  </si>
  <si>
    <t>10.8</t>
  </si>
  <si>
    <t>NF-035</t>
  </si>
  <si>
    <t>6. Business Continuity and Disaster Recovery</t>
  </si>
  <si>
    <t>BCP/DR strategy and documented RTO/RPO</t>
  </si>
  <si>
    <t>Review BCP/DR plan and stated RTO/RPO for critical services (CPMS, billing, auth).</t>
  </si>
  <si>
    <t>RTO/RPO targets defined and acceptable; plan is maintained and reviewed.</t>
  </si>
  <si>
    <t>BCP/DR plan; RTO/RPO table; review cadence.</t>
  </si>
  <si>
    <t>6.1, 6.2</t>
  </si>
  <si>
    <t>NF-036</t>
  </si>
  <si>
    <t>Failover architecture and redundancy</t>
  </si>
  <si>
    <t>Validate architecture for redundancy (multi-AZ/region), database replication, and failover procedures.</t>
  </si>
  <si>
    <t>Redundancy designed for stated SLAs; failover is tested and documented.</t>
  </si>
  <si>
    <t>Architecture diagrams; failover runbook; test evidence.</t>
  </si>
  <si>
    <t>6.3, 6.4, 6.5</t>
  </si>
  <si>
    <t>NF-037</t>
  </si>
  <si>
    <t>Disaster recovery testing evidence</t>
  </si>
  <si>
    <t>Request evidence of DR tests (at least annually) and results, including partial and full failover tests.</t>
  </si>
  <si>
    <t>DR tests performed; issues tracked and remediated; retest evidence.</t>
  </si>
  <si>
    <t>DR test report; remediation tickets.</t>
  </si>
  <si>
    <t>6.6, 6.7</t>
  </si>
  <si>
    <t>NF-038</t>
  </si>
  <si>
    <t>Data backup/restore aligned with DR plan</t>
  </si>
  <si>
    <t>Validate backups and restore testing align with DR strategy and include encryption and access controls.</t>
  </si>
  <si>
    <t>Backup/restore meets RTO/RPO; controls align with security requirements.</t>
  </si>
  <si>
    <t>Backup policy; restore test evidence; security controls.</t>
  </si>
  <si>
    <t>6.8, 6.9</t>
  </si>
  <si>
    <t>NF-039</t>
  </si>
  <si>
    <t>11. Scalability</t>
  </si>
  <si>
    <t>Scalability and performance characteristics</t>
  </si>
  <si>
    <t>Ask vendor to provide benchmarks and scaling approach (number of EVSEs, transactions/sec, roaming volume).</t>
  </si>
  <si>
    <t>Scalability targets are stated; evidence exists (references, benchmarks); scaling is elastic.</t>
  </si>
  <si>
    <t>Benchmark report; reference architecture; customer references.</t>
  </si>
  <si>
    <t>11.1</t>
  </si>
  <si>
    <t>NF-040</t>
  </si>
  <si>
    <t>12. Data Retention</t>
  </si>
  <si>
    <t>Data retention and deletion policies (logs, CDRs, PII)</t>
  </si>
  <si>
    <t>Review retention by data type and deletion process, including legal hold and customer-configurable settings.</t>
  </si>
  <si>
    <t>Retention meets regulatory needs; configurable where required; deletion is auditable.</t>
  </si>
  <si>
    <t>Retention schedule; deletion SOP; audit evidence.</t>
  </si>
  <si>
    <t>NF-041</t>
  </si>
  <si>
    <t>13. SLA and Availability</t>
  </si>
  <si>
    <t>Uptime SLA and service credits</t>
  </si>
  <si>
    <t>Review contractual uptime SLA, service credit model, and exclusions.</t>
  </si>
  <si>
    <t>SLA meets business needs; credits/exclusions are clear.</t>
  </si>
  <si>
    <t>SLA document; historical uptime stats.</t>
  </si>
  <si>
    <t>13.1</t>
  </si>
  <si>
    <t>NF-042</t>
  </si>
  <si>
    <t>Maintenance windows and customer communications</t>
  </si>
  <si>
    <t>Confirm planned maintenance process and how customers are notified; validate status page availability.</t>
  </si>
  <si>
    <t>Notifications are timely; maintenance windows defined; status page exists.</t>
  </si>
  <si>
    <t>Change comms examples; status page screenshot.</t>
  </si>
  <si>
    <t>13.2</t>
  </si>
  <si>
    <t>NF-043</t>
  </si>
  <si>
    <t>Support response SLAs (severity-based)</t>
  </si>
  <si>
    <t>Review support SLAs for incidents (P1/P2/P3) and escalation paths.</t>
  </si>
  <si>
    <t>Response and resolution targets meet requirements; escalation works.</t>
  </si>
  <si>
    <t>Support SLA table; escalation procedure.</t>
  </si>
  <si>
    <t>13.3</t>
  </si>
  <si>
    <t>NF-044</t>
  </si>
  <si>
    <t>Monitoring of availability and customer-facing dashboards</t>
  </si>
  <si>
    <t>Validate availability monitoring and any customer-facing availability dashboards/reports.</t>
  </si>
  <si>
    <t>Availability is measured and reported; transparency exists.</t>
  </si>
  <si>
    <t>Monitoring dashboards; monthly availability report.</t>
  </si>
  <si>
    <t>13.4, 3.4</t>
  </si>
  <si>
    <t>NF-045</t>
  </si>
  <si>
    <t>14. Data Privacy</t>
  </si>
  <si>
    <t>GDPR compliance and data processing terms</t>
  </si>
  <si>
    <t>Review GDPR compliance posture: DPA, subprocessors, data residency options, DSAR handling.</t>
  </si>
  <si>
    <t>DPA available; subprocessors disclosed; DSAR supported; residency options clear.</t>
  </si>
  <si>
    <t>DPA; subprocessor list; DSAR procedure; residency statement.</t>
  </si>
  <si>
    <t>14.1</t>
  </si>
  <si>
    <t>NF-046</t>
  </si>
  <si>
    <t>15. Post Implementation Support</t>
  </si>
  <si>
    <t>Support model and help resources (KB, training)</t>
  </si>
  <si>
    <t>Review support offerings: knowledge base, documentation, training, ticketing channels, hours, premium options.</t>
  </si>
  <si>
    <t>Support model matches needs; self-help resources available; onboarding training offered.</t>
  </si>
  <si>
    <t>Support catalog; KB links; training materials.</t>
  </si>
  <si>
    <t>15.4</t>
  </si>
  <si>
    <t>NF-047</t>
  </si>
  <si>
    <t>End-user self-service for admin tasks</t>
  </si>
  <si>
    <t>Validate self-service capabilities for standard tasks (user mgmt, role changes, alert settings) without vendor support.</t>
  </si>
  <si>
    <t>Admins can perform standard tasks independently; controls are safe and audited.</t>
  </si>
  <si>
    <t>Admin UI screenshots; audit logs.</t>
  </si>
  <si>
    <t>15.5</t>
  </si>
  <si>
    <t>NF-048</t>
  </si>
  <si>
    <t>Change management and release communications</t>
  </si>
  <si>
    <t>Review change management process for planned/unplanned changes and customer communications.</t>
  </si>
  <si>
    <t>Process is documented; customers receive timely comms; backward compatibility addressed.</t>
  </si>
  <si>
    <t>Change management SOP; sample release notes; incident comms template.</t>
  </si>
  <si>
    <t>15.6</t>
  </si>
  <si>
    <t>How to use this workbook</t>
  </si>
  <si>
    <t>1) Filter by Tier = Core to focus on must-have capabilities.</t>
  </si>
  <si>
    <t>2) For each test case, set 'Vendor Support Level' (dropdown).</t>
  </si>
  <si>
    <t>3) Score and Weighted Score calculate automatically.</t>
  </si>
  <si>
    <t>4) Use the category summaries below to compare vendors or track progress.</t>
  </si>
  <si>
    <t>Support Level → Score mapping:</t>
  </si>
  <si>
    <t>OOB (out-of-box)=5 | Configurable=4 | Custom/PS=2 | Roadmap=1 | Not supported=0 | N/A=blank</t>
  </si>
  <si>
    <t>Functional Category Summary</t>
  </si>
  <si>
    <t># Tests</t>
  </si>
  <si>
    <t># Scored</t>
  </si>
  <si>
    <t>Total Weight</t>
  </si>
  <si>
    <t>Total Weighted Score</t>
  </si>
  <si>
    <t>Weighted Avg</t>
  </si>
  <si>
    <t>TOTAL</t>
  </si>
  <si>
    <t>Non-Functional Category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</si>
</sst>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2" fontId="3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5</v>
      </c>
      <c r="D2" t="s">
        <v>5</v>
      </c>
      <c r="E2">
        <v>3</v>
      </c>
    </row>
    <row r="3" spans="1:5" x14ac:dyDescent="0.3">
      <c r="A3" t="s">
        <v>6</v>
      </c>
      <c r="B3">
        <v>4</v>
      </c>
      <c r="D3" t="s">
        <v>7</v>
      </c>
      <c r="E3">
        <v>2</v>
      </c>
    </row>
    <row r="4" spans="1:5" x14ac:dyDescent="0.3">
      <c r="A4" t="s">
        <v>8</v>
      </c>
      <c r="B4">
        <v>2</v>
      </c>
      <c r="D4" t="s">
        <v>9</v>
      </c>
      <c r="E4">
        <v>1</v>
      </c>
    </row>
    <row r="5" spans="1:5" x14ac:dyDescent="0.3">
      <c r="A5" t="s">
        <v>10</v>
      </c>
      <c r="B5">
        <v>1</v>
      </c>
    </row>
    <row r="6" spans="1:5" x14ac:dyDescent="0.3">
      <c r="A6" t="s">
        <v>11</v>
      </c>
      <c r="B6">
        <v>0</v>
      </c>
    </row>
    <row r="7" spans="1:5" x14ac:dyDescent="0.3">
      <c r="A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8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2" width="10" customWidth="1"/>
    <col min="3" max="4" width="32" customWidth="1"/>
    <col min="5" max="5" width="30" customWidth="1"/>
    <col min="6" max="6" width="45" customWidth="1"/>
    <col min="7" max="7" width="35" customWidth="1"/>
    <col min="8" max="8" width="28" customWidth="1"/>
    <col min="9" max="9" width="14" customWidth="1"/>
    <col min="10" max="10" width="10" customWidth="1"/>
    <col min="11" max="11" width="8" customWidth="1"/>
    <col min="12" max="12" width="18" customWidth="1"/>
    <col min="13" max="13" width="22" customWidth="1"/>
    <col min="14" max="14" width="8" customWidth="1"/>
    <col min="15" max="15" width="14" customWidth="1"/>
    <col min="16" max="16" width="26" customWidth="1"/>
  </cols>
  <sheetData>
    <row r="1" spans="1:16" ht="30" customHeigh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</v>
      </c>
      <c r="K1" s="1" t="s">
        <v>22</v>
      </c>
      <c r="L1" s="1" t="s">
        <v>23</v>
      </c>
      <c r="M1" s="1" t="s">
        <v>24</v>
      </c>
      <c r="N1" s="1" t="s">
        <v>1</v>
      </c>
      <c r="O1" s="1" t="s">
        <v>25</v>
      </c>
      <c r="P1" s="1" t="s">
        <v>26</v>
      </c>
    </row>
    <row r="2" spans="1:16" ht="60" customHeight="1" x14ac:dyDescent="0.3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5</v>
      </c>
      <c r="K2" s="2">
        <v>3</v>
      </c>
      <c r="L2" s="2" t="s">
        <v>36</v>
      </c>
      <c r="M2" s="2"/>
      <c r="N2" s="3" t="str">
        <f>IFERROR(VLOOKUP(M2,Lookups!$A$2:$B$7,2,FALSE),"")</f>
        <v/>
      </c>
      <c r="O2" s="3" t="str">
        <f t="shared" ref="O2:O33" si="0">IF(N2="","",K2*N2)</f>
        <v/>
      </c>
      <c r="P2" s="2"/>
    </row>
    <row r="3" spans="1:16" ht="60" customHeight="1" x14ac:dyDescent="0.3">
      <c r="A3" s="2" t="s">
        <v>37</v>
      </c>
      <c r="B3" s="2" t="s">
        <v>28</v>
      </c>
      <c r="C3" s="2" t="s">
        <v>29</v>
      </c>
      <c r="D3" s="2" t="s">
        <v>30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5</v>
      </c>
      <c r="K3" s="2">
        <v>3</v>
      </c>
      <c r="L3" s="2" t="s">
        <v>43</v>
      </c>
      <c r="M3" s="2"/>
      <c r="N3" s="3" t="str">
        <f>IFERROR(VLOOKUP(M3,Lookups!$A$2:$B$7,2,FALSE),"")</f>
        <v/>
      </c>
      <c r="O3" s="3" t="str">
        <f t="shared" si="0"/>
        <v/>
      </c>
      <c r="P3" s="2"/>
    </row>
    <row r="4" spans="1:16" ht="60" customHeight="1" x14ac:dyDescent="0.3">
      <c r="A4" s="2" t="s">
        <v>44</v>
      </c>
      <c r="B4" s="2" t="s">
        <v>45</v>
      </c>
      <c r="C4" s="2" t="s">
        <v>29</v>
      </c>
      <c r="D4" s="2" t="s">
        <v>30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7</v>
      </c>
      <c r="K4" s="2">
        <v>2</v>
      </c>
      <c r="L4" s="2" t="s">
        <v>51</v>
      </c>
      <c r="M4" s="2"/>
      <c r="N4" s="3" t="str">
        <f>IFERROR(VLOOKUP(M4,Lookups!$A$2:$B$7,2,FALSE),"")</f>
        <v/>
      </c>
      <c r="O4" s="3" t="str">
        <f t="shared" si="0"/>
        <v/>
      </c>
      <c r="P4" s="2"/>
    </row>
    <row r="5" spans="1:16" ht="60" customHeight="1" x14ac:dyDescent="0.3">
      <c r="A5" s="2" t="s">
        <v>52</v>
      </c>
      <c r="B5" s="2" t="s">
        <v>28</v>
      </c>
      <c r="C5" s="2" t="s">
        <v>29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</v>
      </c>
      <c r="K5" s="2">
        <v>3</v>
      </c>
      <c r="L5" s="2" t="s">
        <v>59</v>
      </c>
      <c r="M5" s="2"/>
      <c r="N5" s="3" t="str">
        <f>IFERROR(VLOOKUP(M5,Lookups!$A$2:$B$7,2,FALSE),"")</f>
        <v/>
      </c>
      <c r="O5" s="3" t="str">
        <f t="shared" si="0"/>
        <v/>
      </c>
      <c r="P5" s="2"/>
    </row>
    <row r="6" spans="1:16" ht="60" customHeight="1" x14ac:dyDescent="0.3">
      <c r="A6" s="2" t="s">
        <v>60</v>
      </c>
      <c r="B6" s="2" t="s">
        <v>28</v>
      </c>
      <c r="C6" s="2" t="s">
        <v>29</v>
      </c>
      <c r="D6" s="2" t="s">
        <v>53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58</v>
      </c>
      <c r="J6" s="2" t="s">
        <v>5</v>
      </c>
      <c r="K6" s="2">
        <v>3</v>
      </c>
      <c r="L6" s="2" t="s">
        <v>65</v>
      </c>
      <c r="M6" s="2"/>
      <c r="N6" s="3" t="str">
        <f>IFERROR(VLOOKUP(M6,Lookups!$A$2:$B$7,2,FALSE),"")</f>
        <v/>
      </c>
      <c r="O6" s="3" t="str">
        <f t="shared" si="0"/>
        <v/>
      </c>
      <c r="P6" s="2"/>
    </row>
    <row r="7" spans="1:16" ht="60" customHeight="1" x14ac:dyDescent="0.3">
      <c r="A7" s="2" t="s">
        <v>66</v>
      </c>
      <c r="B7" s="2" t="s">
        <v>45</v>
      </c>
      <c r="C7" s="2" t="s">
        <v>29</v>
      </c>
      <c r="D7" s="2" t="s">
        <v>53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</v>
      </c>
      <c r="K7" s="2">
        <v>2</v>
      </c>
      <c r="L7" s="2" t="s">
        <v>72</v>
      </c>
      <c r="M7" s="2"/>
      <c r="N7" s="3" t="str">
        <f>IFERROR(VLOOKUP(M7,Lookups!$A$2:$B$7,2,FALSE),"")</f>
        <v/>
      </c>
      <c r="O7" s="3" t="str">
        <f t="shared" si="0"/>
        <v/>
      </c>
      <c r="P7" s="2"/>
    </row>
    <row r="8" spans="1:16" ht="60" customHeight="1" x14ac:dyDescent="0.3">
      <c r="A8" s="2" t="s">
        <v>73</v>
      </c>
      <c r="B8" s="2" t="s">
        <v>28</v>
      </c>
      <c r="C8" s="2" t="s">
        <v>29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50</v>
      </c>
      <c r="J8" s="2" t="s">
        <v>5</v>
      </c>
      <c r="K8" s="2">
        <v>3</v>
      </c>
      <c r="L8" s="2" t="s">
        <v>79</v>
      </c>
      <c r="M8" s="2"/>
      <c r="N8" s="3" t="str">
        <f>IFERROR(VLOOKUP(M8,Lookups!$A$2:$B$7,2,FALSE),"")</f>
        <v/>
      </c>
      <c r="O8" s="3" t="str">
        <f t="shared" si="0"/>
        <v/>
      </c>
      <c r="P8" s="2"/>
    </row>
    <row r="9" spans="1:16" ht="60" customHeight="1" x14ac:dyDescent="0.3">
      <c r="A9" s="2" t="s">
        <v>80</v>
      </c>
      <c r="B9" s="2" t="s">
        <v>45</v>
      </c>
      <c r="C9" s="2" t="s">
        <v>29</v>
      </c>
      <c r="D9" s="2" t="s">
        <v>74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71</v>
      </c>
      <c r="J9" s="2" t="s">
        <v>7</v>
      </c>
      <c r="K9" s="2">
        <v>2</v>
      </c>
      <c r="L9" s="2" t="s">
        <v>85</v>
      </c>
      <c r="M9" s="2"/>
      <c r="N9" s="3" t="str">
        <f>IFERROR(VLOOKUP(M9,Lookups!$A$2:$B$7,2,FALSE),"")</f>
        <v/>
      </c>
      <c r="O9" s="3" t="str">
        <f t="shared" si="0"/>
        <v/>
      </c>
      <c r="P9" s="2"/>
    </row>
    <row r="10" spans="1:16" ht="60" customHeight="1" x14ac:dyDescent="0.3">
      <c r="A10" s="2" t="s">
        <v>86</v>
      </c>
      <c r="B10" s="2" t="s">
        <v>45</v>
      </c>
      <c r="C10" s="2" t="s">
        <v>29</v>
      </c>
      <c r="D10" s="2" t="s">
        <v>74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50</v>
      </c>
      <c r="J10" s="2" t="s">
        <v>7</v>
      </c>
      <c r="K10" s="2">
        <v>2</v>
      </c>
      <c r="L10" s="2" t="s">
        <v>91</v>
      </c>
      <c r="M10" s="2"/>
      <c r="N10" s="3" t="str">
        <f>IFERROR(VLOOKUP(M10,Lookups!$A$2:$B$7,2,FALSE),"")</f>
        <v/>
      </c>
      <c r="O10" s="3" t="str">
        <f t="shared" si="0"/>
        <v/>
      </c>
      <c r="P10" s="2"/>
    </row>
    <row r="11" spans="1:16" ht="60" customHeight="1" x14ac:dyDescent="0.3">
      <c r="A11" s="2" t="s">
        <v>92</v>
      </c>
      <c r="B11" s="2" t="s">
        <v>45</v>
      </c>
      <c r="C11" s="2" t="s">
        <v>29</v>
      </c>
      <c r="D11" s="2" t="s">
        <v>74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71</v>
      </c>
      <c r="J11" s="2" t="s">
        <v>7</v>
      </c>
      <c r="K11" s="2">
        <v>2</v>
      </c>
      <c r="L11" s="2" t="s">
        <v>97</v>
      </c>
      <c r="M11" s="2"/>
      <c r="N11" s="3" t="str">
        <f>IFERROR(VLOOKUP(M11,Lookups!$A$2:$B$7,2,FALSE),"")</f>
        <v/>
      </c>
      <c r="O11" s="3" t="str">
        <f t="shared" si="0"/>
        <v/>
      </c>
      <c r="P11" s="2"/>
    </row>
    <row r="12" spans="1:16" ht="60" customHeight="1" x14ac:dyDescent="0.3">
      <c r="A12" s="2" t="s">
        <v>98</v>
      </c>
      <c r="B12" s="2" t="s">
        <v>45</v>
      </c>
      <c r="C12" s="2" t="s">
        <v>29</v>
      </c>
      <c r="D12" s="2" t="s">
        <v>74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71</v>
      </c>
      <c r="J12" s="2" t="s">
        <v>7</v>
      </c>
      <c r="K12" s="2">
        <v>2</v>
      </c>
      <c r="L12" s="2" t="s">
        <v>103</v>
      </c>
      <c r="M12" s="2"/>
      <c r="N12" s="3" t="str">
        <f>IFERROR(VLOOKUP(M12,Lookups!$A$2:$B$7,2,FALSE),"")</f>
        <v/>
      </c>
      <c r="O12" s="3" t="str">
        <f t="shared" si="0"/>
        <v/>
      </c>
      <c r="P12" s="2"/>
    </row>
    <row r="13" spans="1:16" ht="60" customHeight="1" x14ac:dyDescent="0.3">
      <c r="A13" s="2" t="s">
        <v>104</v>
      </c>
      <c r="B13" s="2" t="s">
        <v>45</v>
      </c>
      <c r="C13" s="2" t="s">
        <v>29</v>
      </c>
      <c r="D13" s="2" t="s">
        <v>74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50</v>
      </c>
      <c r="J13" s="2" t="s">
        <v>7</v>
      </c>
      <c r="K13" s="2">
        <v>2</v>
      </c>
      <c r="L13" s="2" t="s">
        <v>109</v>
      </c>
      <c r="M13" s="2"/>
      <c r="N13" s="3" t="str">
        <f>IFERROR(VLOOKUP(M13,Lookups!$A$2:$B$7,2,FALSE),"")</f>
        <v/>
      </c>
      <c r="O13" s="3" t="str">
        <f t="shared" si="0"/>
        <v/>
      </c>
      <c r="P13" s="2"/>
    </row>
    <row r="14" spans="1:16" ht="60" customHeight="1" x14ac:dyDescent="0.3">
      <c r="A14" s="2" t="s">
        <v>110</v>
      </c>
      <c r="B14" s="2" t="s">
        <v>45</v>
      </c>
      <c r="C14" s="2" t="s">
        <v>29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I14" s="2" t="s">
        <v>71</v>
      </c>
      <c r="J14" s="2" t="s">
        <v>7</v>
      </c>
      <c r="K14" s="2">
        <v>2</v>
      </c>
      <c r="L14" s="2" t="s">
        <v>116</v>
      </c>
      <c r="M14" s="2"/>
      <c r="N14" s="3" t="str">
        <f>IFERROR(VLOOKUP(M14,Lookups!$A$2:$B$7,2,FALSE),"")</f>
        <v/>
      </c>
      <c r="O14" s="3" t="str">
        <f t="shared" si="0"/>
        <v/>
      </c>
      <c r="P14" s="2"/>
    </row>
    <row r="15" spans="1:16" ht="60" customHeight="1" x14ac:dyDescent="0.3">
      <c r="A15" s="2" t="s">
        <v>117</v>
      </c>
      <c r="B15" s="2" t="s">
        <v>45</v>
      </c>
      <c r="C15" s="2" t="s">
        <v>29</v>
      </c>
      <c r="D15" s="2" t="s">
        <v>111</v>
      </c>
      <c r="E15" s="2" t="s">
        <v>118</v>
      </c>
      <c r="F15" s="2" t="s">
        <v>119</v>
      </c>
      <c r="G15" s="2" t="s">
        <v>120</v>
      </c>
      <c r="H15" s="2" t="s">
        <v>121</v>
      </c>
      <c r="I15" s="2" t="s">
        <v>122</v>
      </c>
      <c r="J15" s="2" t="s">
        <v>7</v>
      </c>
      <c r="K15" s="2">
        <v>2</v>
      </c>
      <c r="L15" s="2" t="s">
        <v>123</v>
      </c>
      <c r="M15" s="2"/>
      <c r="N15" s="3" t="str">
        <f>IFERROR(VLOOKUP(M15,Lookups!$A$2:$B$7,2,FALSE),"")</f>
        <v/>
      </c>
      <c r="O15" s="3" t="str">
        <f t="shared" si="0"/>
        <v/>
      </c>
      <c r="P15" s="2"/>
    </row>
    <row r="16" spans="1:16" ht="60" customHeight="1" x14ac:dyDescent="0.3">
      <c r="A16" s="2" t="s">
        <v>124</v>
      </c>
      <c r="B16" s="2" t="s">
        <v>28</v>
      </c>
      <c r="C16" s="2" t="s">
        <v>29</v>
      </c>
      <c r="D16" s="2" t="s">
        <v>111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58</v>
      </c>
      <c r="J16" s="2" t="s">
        <v>5</v>
      </c>
      <c r="K16" s="2">
        <v>3</v>
      </c>
      <c r="L16" s="2" t="s">
        <v>129</v>
      </c>
      <c r="M16" s="2"/>
      <c r="N16" s="3" t="str">
        <f>IFERROR(VLOOKUP(M16,Lookups!$A$2:$B$7,2,FALSE),"")</f>
        <v/>
      </c>
      <c r="O16" s="3" t="str">
        <f t="shared" si="0"/>
        <v/>
      </c>
      <c r="P16" s="2"/>
    </row>
    <row r="17" spans="1:16" ht="60" customHeight="1" x14ac:dyDescent="0.3">
      <c r="A17" s="2" t="s">
        <v>130</v>
      </c>
      <c r="B17" s="2" t="s">
        <v>28</v>
      </c>
      <c r="C17" s="2" t="s">
        <v>29</v>
      </c>
      <c r="D17" s="2" t="s">
        <v>131</v>
      </c>
      <c r="E17" s="2" t="s">
        <v>132</v>
      </c>
      <c r="F17" s="2" t="s">
        <v>133</v>
      </c>
      <c r="G17" s="2" t="s">
        <v>134</v>
      </c>
      <c r="H17" s="2" t="s">
        <v>135</v>
      </c>
      <c r="I17" s="2" t="s">
        <v>58</v>
      </c>
      <c r="J17" s="2" t="s">
        <v>5</v>
      </c>
      <c r="K17" s="2">
        <v>3</v>
      </c>
      <c r="L17" s="2" t="s">
        <v>136</v>
      </c>
      <c r="M17" s="2"/>
      <c r="N17" s="3" t="str">
        <f>IFERROR(VLOOKUP(M17,Lookups!$A$2:$B$7,2,FALSE),"")</f>
        <v/>
      </c>
      <c r="O17" s="3" t="str">
        <f t="shared" si="0"/>
        <v/>
      </c>
      <c r="P17" s="2"/>
    </row>
    <row r="18" spans="1:16" ht="60" customHeight="1" x14ac:dyDescent="0.3">
      <c r="A18" s="2" t="s">
        <v>137</v>
      </c>
      <c r="B18" s="2" t="s">
        <v>45</v>
      </c>
      <c r="C18" s="2" t="s">
        <v>29</v>
      </c>
      <c r="D18" s="2" t="s">
        <v>131</v>
      </c>
      <c r="E18" s="2" t="s">
        <v>138</v>
      </c>
      <c r="F18" s="2" t="s">
        <v>139</v>
      </c>
      <c r="G18" s="2" t="s">
        <v>140</v>
      </c>
      <c r="H18" s="2" t="s">
        <v>141</v>
      </c>
      <c r="I18" s="2" t="s">
        <v>122</v>
      </c>
      <c r="J18" s="2" t="s">
        <v>7</v>
      </c>
      <c r="K18" s="2">
        <v>2</v>
      </c>
      <c r="L18" s="2" t="s">
        <v>142</v>
      </c>
      <c r="M18" s="2"/>
      <c r="N18" s="3" t="str">
        <f>IFERROR(VLOOKUP(M18,Lookups!$A$2:$B$7,2,FALSE),"")</f>
        <v/>
      </c>
      <c r="O18" s="3" t="str">
        <f t="shared" si="0"/>
        <v/>
      </c>
      <c r="P18" s="2"/>
    </row>
    <row r="19" spans="1:16" ht="60" customHeight="1" x14ac:dyDescent="0.3">
      <c r="A19" s="2" t="s">
        <v>143</v>
      </c>
      <c r="B19" s="2" t="s">
        <v>45</v>
      </c>
      <c r="C19" s="2" t="s">
        <v>29</v>
      </c>
      <c r="D19" s="2" t="s">
        <v>131</v>
      </c>
      <c r="E19" s="2" t="s">
        <v>144</v>
      </c>
      <c r="F19" s="2" t="s">
        <v>145</v>
      </c>
      <c r="G19" s="2" t="s">
        <v>146</v>
      </c>
      <c r="H19" s="2" t="s">
        <v>147</v>
      </c>
      <c r="I19" s="2" t="s">
        <v>71</v>
      </c>
      <c r="J19" s="2" t="s">
        <v>7</v>
      </c>
      <c r="K19" s="2">
        <v>2</v>
      </c>
      <c r="L19" s="2" t="s">
        <v>148</v>
      </c>
      <c r="M19" s="2"/>
      <c r="N19" s="3" t="str">
        <f>IFERROR(VLOOKUP(M19,Lookups!$A$2:$B$7,2,FALSE),"")</f>
        <v/>
      </c>
      <c r="O19" s="3" t="str">
        <f t="shared" si="0"/>
        <v/>
      </c>
      <c r="P19" s="2"/>
    </row>
    <row r="20" spans="1:16" ht="60" customHeight="1" x14ac:dyDescent="0.3">
      <c r="A20" s="2" t="s">
        <v>149</v>
      </c>
      <c r="B20" s="2" t="s">
        <v>45</v>
      </c>
      <c r="C20" s="2" t="s">
        <v>29</v>
      </c>
      <c r="D20" s="2" t="s">
        <v>131</v>
      </c>
      <c r="E20" s="2" t="s">
        <v>150</v>
      </c>
      <c r="F20" s="2" t="s">
        <v>151</v>
      </c>
      <c r="G20" s="2" t="s">
        <v>152</v>
      </c>
      <c r="H20" s="2" t="s">
        <v>153</v>
      </c>
      <c r="I20" s="2" t="s">
        <v>71</v>
      </c>
      <c r="J20" s="2" t="s">
        <v>9</v>
      </c>
      <c r="K20" s="2">
        <v>1</v>
      </c>
      <c r="L20" s="2" t="s">
        <v>154</v>
      </c>
      <c r="M20" s="2"/>
      <c r="N20" s="3" t="str">
        <f>IFERROR(VLOOKUP(M20,Lookups!$A$2:$B$7,2,FALSE),"")</f>
        <v/>
      </c>
      <c r="O20" s="3" t="str">
        <f t="shared" si="0"/>
        <v/>
      </c>
      <c r="P20" s="2"/>
    </row>
    <row r="21" spans="1:16" ht="60" customHeight="1" x14ac:dyDescent="0.3">
      <c r="A21" s="2" t="s">
        <v>155</v>
      </c>
      <c r="B21" s="2" t="s">
        <v>45</v>
      </c>
      <c r="C21" s="2" t="s">
        <v>29</v>
      </c>
      <c r="D21" s="2" t="s">
        <v>131</v>
      </c>
      <c r="E21" s="2" t="s">
        <v>156</v>
      </c>
      <c r="F21" s="2" t="s">
        <v>157</v>
      </c>
      <c r="G21" s="2" t="s">
        <v>158</v>
      </c>
      <c r="H21" s="2" t="s">
        <v>159</v>
      </c>
      <c r="I21" s="2" t="s">
        <v>71</v>
      </c>
      <c r="J21" s="2" t="s">
        <v>7</v>
      </c>
      <c r="K21" s="2">
        <v>2</v>
      </c>
      <c r="L21" s="2" t="s">
        <v>160</v>
      </c>
      <c r="M21" s="2"/>
      <c r="N21" s="3" t="str">
        <f>IFERROR(VLOOKUP(M21,Lookups!$A$2:$B$7,2,FALSE),"")</f>
        <v/>
      </c>
      <c r="O21" s="3" t="str">
        <f t="shared" si="0"/>
        <v/>
      </c>
      <c r="P21" s="2"/>
    </row>
    <row r="22" spans="1:16" ht="60" customHeight="1" x14ac:dyDescent="0.3">
      <c r="A22" s="2" t="s">
        <v>161</v>
      </c>
      <c r="B22" s="2" t="s">
        <v>28</v>
      </c>
      <c r="C22" s="2" t="s">
        <v>29</v>
      </c>
      <c r="D22" s="2" t="s">
        <v>162</v>
      </c>
      <c r="E22" s="2" t="s">
        <v>163</v>
      </c>
      <c r="F22" s="2" t="s">
        <v>164</v>
      </c>
      <c r="G22" s="2" t="s">
        <v>165</v>
      </c>
      <c r="H22" s="2" t="s">
        <v>166</v>
      </c>
      <c r="I22" s="2" t="s">
        <v>58</v>
      </c>
      <c r="J22" s="2" t="s">
        <v>5</v>
      </c>
      <c r="K22" s="2">
        <v>3</v>
      </c>
      <c r="L22" s="2" t="s">
        <v>167</v>
      </c>
      <c r="M22" s="2"/>
      <c r="N22" s="3" t="str">
        <f>IFERROR(VLOOKUP(M22,Lookups!$A$2:$B$7,2,FALSE),"")</f>
        <v/>
      </c>
      <c r="O22" s="3" t="str">
        <f t="shared" si="0"/>
        <v/>
      </c>
      <c r="P22" s="2"/>
    </row>
    <row r="23" spans="1:16" ht="60" customHeight="1" x14ac:dyDescent="0.3">
      <c r="A23" s="2" t="s">
        <v>168</v>
      </c>
      <c r="B23" s="2" t="s">
        <v>45</v>
      </c>
      <c r="C23" s="2" t="s">
        <v>29</v>
      </c>
      <c r="D23" s="2" t="s">
        <v>162</v>
      </c>
      <c r="E23" s="2" t="s">
        <v>169</v>
      </c>
      <c r="F23" s="2" t="s">
        <v>170</v>
      </c>
      <c r="G23" s="2" t="s">
        <v>171</v>
      </c>
      <c r="H23" s="2" t="s">
        <v>172</v>
      </c>
      <c r="I23" s="2" t="s">
        <v>122</v>
      </c>
      <c r="J23" s="2" t="s">
        <v>7</v>
      </c>
      <c r="K23" s="2">
        <v>2</v>
      </c>
      <c r="L23" s="2" t="s">
        <v>173</v>
      </c>
      <c r="M23" s="2"/>
      <c r="N23" s="3" t="str">
        <f>IFERROR(VLOOKUP(M23,Lookups!$A$2:$B$7,2,FALSE),"")</f>
        <v/>
      </c>
      <c r="O23" s="3" t="str">
        <f t="shared" si="0"/>
        <v/>
      </c>
      <c r="P23" s="2"/>
    </row>
    <row r="24" spans="1:16" ht="60" customHeight="1" x14ac:dyDescent="0.3">
      <c r="A24" s="2" t="s">
        <v>174</v>
      </c>
      <c r="B24" s="2" t="s">
        <v>28</v>
      </c>
      <c r="C24" s="2" t="s">
        <v>175</v>
      </c>
      <c r="D24" s="2" t="s">
        <v>176</v>
      </c>
      <c r="E24" s="2" t="s">
        <v>177</v>
      </c>
      <c r="F24" s="2" t="s">
        <v>178</v>
      </c>
      <c r="G24" s="2" t="s">
        <v>179</v>
      </c>
      <c r="H24" s="2" t="s">
        <v>180</v>
      </c>
      <c r="I24" s="2" t="s">
        <v>58</v>
      </c>
      <c r="J24" s="2" t="s">
        <v>5</v>
      </c>
      <c r="K24" s="2">
        <v>3</v>
      </c>
      <c r="L24" s="2" t="s">
        <v>181</v>
      </c>
      <c r="M24" s="2"/>
      <c r="N24" s="3" t="str">
        <f>IFERROR(VLOOKUP(M24,Lookups!$A$2:$B$7,2,FALSE),"")</f>
        <v/>
      </c>
      <c r="O24" s="3" t="str">
        <f t="shared" si="0"/>
        <v/>
      </c>
      <c r="P24" s="2"/>
    </row>
    <row r="25" spans="1:16" ht="60" customHeight="1" x14ac:dyDescent="0.3">
      <c r="A25" s="2" t="s">
        <v>182</v>
      </c>
      <c r="B25" s="2" t="s">
        <v>28</v>
      </c>
      <c r="C25" s="2" t="s">
        <v>175</v>
      </c>
      <c r="D25" s="2" t="s">
        <v>183</v>
      </c>
      <c r="E25" s="2" t="s">
        <v>184</v>
      </c>
      <c r="F25" s="2" t="s">
        <v>185</v>
      </c>
      <c r="G25" s="2" t="s">
        <v>186</v>
      </c>
      <c r="H25" s="2" t="s">
        <v>187</v>
      </c>
      <c r="I25" s="2" t="s">
        <v>58</v>
      </c>
      <c r="J25" s="2" t="s">
        <v>5</v>
      </c>
      <c r="K25" s="2">
        <v>3</v>
      </c>
      <c r="L25" s="2" t="s">
        <v>188</v>
      </c>
      <c r="M25" s="2"/>
      <c r="N25" s="3" t="str">
        <f>IFERROR(VLOOKUP(M25,Lookups!$A$2:$B$7,2,FALSE),"")</f>
        <v/>
      </c>
      <c r="O25" s="3" t="str">
        <f t="shared" si="0"/>
        <v/>
      </c>
      <c r="P25" s="2"/>
    </row>
    <row r="26" spans="1:16" ht="60" customHeight="1" x14ac:dyDescent="0.3">
      <c r="A26" s="2" t="s">
        <v>189</v>
      </c>
      <c r="B26" s="2" t="s">
        <v>28</v>
      </c>
      <c r="C26" s="2" t="s">
        <v>175</v>
      </c>
      <c r="D26" s="2" t="s">
        <v>190</v>
      </c>
      <c r="E26" s="2" t="s">
        <v>191</v>
      </c>
      <c r="F26" s="2" t="s">
        <v>192</v>
      </c>
      <c r="G26" s="2" t="s">
        <v>193</v>
      </c>
      <c r="H26" s="2" t="s">
        <v>194</v>
      </c>
      <c r="I26" s="2" t="s">
        <v>35</v>
      </c>
      <c r="J26" s="2" t="s">
        <v>5</v>
      </c>
      <c r="K26" s="2">
        <v>3</v>
      </c>
      <c r="L26" s="2" t="s">
        <v>195</v>
      </c>
      <c r="M26" s="2"/>
      <c r="N26" s="3" t="str">
        <f>IFERROR(VLOOKUP(M26,Lookups!$A$2:$B$7,2,FALSE),"")</f>
        <v/>
      </c>
      <c r="O26" s="3" t="str">
        <f t="shared" si="0"/>
        <v/>
      </c>
      <c r="P26" s="2"/>
    </row>
    <row r="27" spans="1:16" ht="60" customHeight="1" x14ac:dyDescent="0.3">
      <c r="A27" s="2" t="s">
        <v>196</v>
      </c>
      <c r="B27" s="2" t="s">
        <v>45</v>
      </c>
      <c r="C27" s="2" t="s">
        <v>175</v>
      </c>
      <c r="D27" s="2" t="s">
        <v>190</v>
      </c>
      <c r="E27" s="2" t="s">
        <v>197</v>
      </c>
      <c r="F27" s="2" t="s">
        <v>198</v>
      </c>
      <c r="G27" s="2" t="s">
        <v>199</v>
      </c>
      <c r="H27" s="2" t="s">
        <v>200</v>
      </c>
      <c r="I27" s="2" t="s">
        <v>71</v>
      </c>
      <c r="J27" s="2" t="s">
        <v>7</v>
      </c>
      <c r="K27" s="2">
        <v>2</v>
      </c>
      <c r="L27" s="2" t="s">
        <v>201</v>
      </c>
      <c r="M27" s="2"/>
      <c r="N27" s="3" t="str">
        <f>IFERROR(VLOOKUP(M27,Lookups!$A$2:$B$7,2,FALSE),"")</f>
        <v/>
      </c>
      <c r="O27" s="3" t="str">
        <f t="shared" si="0"/>
        <v/>
      </c>
      <c r="P27" s="2"/>
    </row>
    <row r="28" spans="1:16" ht="60" customHeight="1" x14ac:dyDescent="0.3">
      <c r="A28" s="2" t="s">
        <v>202</v>
      </c>
      <c r="B28" s="2" t="s">
        <v>28</v>
      </c>
      <c r="C28" s="2" t="s">
        <v>175</v>
      </c>
      <c r="D28" s="2" t="s">
        <v>190</v>
      </c>
      <c r="E28" s="2" t="s">
        <v>203</v>
      </c>
      <c r="F28" s="2" t="s">
        <v>204</v>
      </c>
      <c r="G28" s="2" t="s">
        <v>205</v>
      </c>
      <c r="H28" s="2" t="s">
        <v>206</v>
      </c>
      <c r="I28" s="2" t="s">
        <v>50</v>
      </c>
      <c r="J28" s="2" t="s">
        <v>5</v>
      </c>
      <c r="K28" s="2">
        <v>3</v>
      </c>
      <c r="L28" s="2" t="s">
        <v>207</v>
      </c>
      <c r="M28" s="2"/>
      <c r="N28" s="3" t="str">
        <f>IFERROR(VLOOKUP(M28,Lookups!$A$2:$B$7,2,FALSE),"")</f>
        <v/>
      </c>
      <c r="O28" s="3" t="str">
        <f t="shared" si="0"/>
        <v/>
      </c>
      <c r="P28" s="2"/>
    </row>
    <row r="29" spans="1:16" ht="60" customHeight="1" x14ac:dyDescent="0.3">
      <c r="A29" s="2" t="s">
        <v>208</v>
      </c>
      <c r="B29" s="2" t="s">
        <v>45</v>
      </c>
      <c r="C29" s="2" t="s">
        <v>175</v>
      </c>
      <c r="D29" s="2" t="s">
        <v>190</v>
      </c>
      <c r="E29" s="2" t="s">
        <v>209</v>
      </c>
      <c r="F29" s="2" t="s">
        <v>210</v>
      </c>
      <c r="G29" s="2" t="s">
        <v>211</v>
      </c>
      <c r="H29" s="2" t="s">
        <v>212</v>
      </c>
      <c r="I29" s="2" t="s">
        <v>213</v>
      </c>
      <c r="J29" s="2" t="s">
        <v>7</v>
      </c>
      <c r="K29" s="2">
        <v>2</v>
      </c>
      <c r="L29" s="2" t="s">
        <v>214</v>
      </c>
      <c r="M29" s="2"/>
      <c r="N29" s="3" t="str">
        <f>IFERROR(VLOOKUP(M29,Lookups!$A$2:$B$7,2,FALSE),"")</f>
        <v/>
      </c>
      <c r="O29" s="3" t="str">
        <f t="shared" si="0"/>
        <v/>
      </c>
      <c r="P29" s="2"/>
    </row>
    <row r="30" spans="1:16" ht="60" customHeight="1" x14ac:dyDescent="0.3">
      <c r="A30" s="2" t="s">
        <v>215</v>
      </c>
      <c r="B30" s="2" t="s">
        <v>28</v>
      </c>
      <c r="C30" s="2" t="s">
        <v>175</v>
      </c>
      <c r="D30" s="2" t="s">
        <v>216</v>
      </c>
      <c r="E30" s="2" t="s">
        <v>217</v>
      </c>
      <c r="F30" s="2" t="s">
        <v>218</v>
      </c>
      <c r="G30" s="2" t="s">
        <v>219</v>
      </c>
      <c r="H30" s="2" t="s">
        <v>220</v>
      </c>
      <c r="I30" s="2" t="s">
        <v>58</v>
      </c>
      <c r="J30" s="2" t="s">
        <v>5</v>
      </c>
      <c r="K30" s="2">
        <v>3</v>
      </c>
      <c r="L30" s="2" t="s">
        <v>221</v>
      </c>
      <c r="M30" s="2"/>
      <c r="N30" s="3" t="str">
        <f>IFERROR(VLOOKUP(M30,Lookups!$A$2:$B$7,2,FALSE),"")</f>
        <v/>
      </c>
      <c r="O30" s="3" t="str">
        <f t="shared" si="0"/>
        <v/>
      </c>
      <c r="P30" s="2"/>
    </row>
    <row r="31" spans="1:16" ht="60" customHeight="1" x14ac:dyDescent="0.3">
      <c r="A31" s="2" t="s">
        <v>222</v>
      </c>
      <c r="B31" s="2" t="s">
        <v>45</v>
      </c>
      <c r="C31" s="2" t="s">
        <v>175</v>
      </c>
      <c r="D31" s="2" t="s">
        <v>223</v>
      </c>
      <c r="E31" s="2" t="s">
        <v>224</v>
      </c>
      <c r="F31" s="2" t="s">
        <v>225</v>
      </c>
      <c r="G31" s="2" t="s">
        <v>226</v>
      </c>
      <c r="H31" s="2" t="s">
        <v>227</v>
      </c>
      <c r="I31" s="2" t="s">
        <v>71</v>
      </c>
      <c r="J31" s="2" t="s">
        <v>7</v>
      </c>
      <c r="K31" s="2">
        <v>2</v>
      </c>
      <c r="L31" s="2" t="s">
        <v>228</v>
      </c>
      <c r="M31" s="2"/>
      <c r="N31" s="3" t="str">
        <f>IFERROR(VLOOKUP(M31,Lookups!$A$2:$B$7,2,FALSE),"")</f>
        <v/>
      </c>
      <c r="O31" s="3" t="str">
        <f t="shared" si="0"/>
        <v/>
      </c>
      <c r="P31" s="2"/>
    </row>
    <row r="32" spans="1:16" ht="60" customHeight="1" x14ac:dyDescent="0.3">
      <c r="A32" s="2" t="s">
        <v>229</v>
      </c>
      <c r="B32" s="2" t="s">
        <v>28</v>
      </c>
      <c r="C32" s="2" t="s">
        <v>175</v>
      </c>
      <c r="D32" s="2" t="s">
        <v>230</v>
      </c>
      <c r="E32" s="2" t="s">
        <v>231</v>
      </c>
      <c r="F32" s="2" t="s">
        <v>232</v>
      </c>
      <c r="G32" s="2" t="s">
        <v>233</v>
      </c>
      <c r="H32" s="2" t="s">
        <v>234</v>
      </c>
      <c r="I32" s="2" t="s">
        <v>58</v>
      </c>
      <c r="J32" s="2" t="s">
        <v>5</v>
      </c>
      <c r="K32" s="2">
        <v>3</v>
      </c>
      <c r="L32" s="2" t="s">
        <v>235</v>
      </c>
      <c r="M32" s="2"/>
      <c r="N32" s="3" t="str">
        <f>IFERROR(VLOOKUP(M32,Lookups!$A$2:$B$7,2,FALSE),"")</f>
        <v/>
      </c>
      <c r="O32" s="3" t="str">
        <f t="shared" si="0"/>
        <v/>
      </c>
      <c r="P32" s="2"/>
    </row>
    <row r="33" spans="1:16" ht="60" customHeight="1" x14ac:dyDescent="0.3">
      <c r="A33" s="2" t="s">
        <v>236</v>
      </c>
      <c r="B33" s="2" t="s">
        <v>45</v>
      </c>
      <c r="C33" s="2" t="s">
        <v>175</v>
      </c>
      <c r="D33" s="2" t="s">
        <v>237</v>
      </c>
      <c r="E33" s="2" t="s">
        <v>238</v>
      </c>
      <c r="F33" s="2" t="s">
        <v>239</v>
      </c>
      <c r="G33" s="2" t="s">
        <v>240</v>
      </c>
      <c r="H33" s="2" t="s">
        <v>241</v>
      </c>
      <c r="I33" s="2" t="s">
        <v>58</v>
      </c>
      <c r="J33" s="2" t="s">
        <v>7</v>
      </c>
      <c r="K33" s="2">
        <v>2</v>
      </c>
      <c r="L33" s="2" t="s">
        <v>242</v>
      </c>
      <c r="M33" s="2"/>
      <c r="N33" s="3" t="str">
        <f>IFERROR(VLOOKUP(M33,Lookups!$A$2:$B$7,2,FALSE),"")</f>
        <v/>
      </c>
      <c r="O33" s="3" t="str">
        <f t="shared" si="0"/>
        <v/>
      </c>
      <c r="P33" s="2"/>
    </row>
    <row r="34" spans="1:16" ht="60" customHeight="1" x14ac:dyDescent="0.3">
      <c r="A34" s="2" t="s">
        <v>243</v>
      </c>
      <c r="B34" s="2" t="s">
        <v>28</v>
      </c>
      <c r="C34" s="2" t="s">
        <v>244</v>
      </c>
      <c r="D34" s="2" t="s">
        <v>245</v>
      </c>
      <c r="E34" s="2" t="s">
        <v>246</v>
      </c>
      <c r="F34" s="2" t="s">
        <v>247</v>
      </c>
      <c r="G34" s="2" t="s">
        <v>248</v>
      </c>
      <c r="H34" s="2" t="s">
        <v>249</v>
      </c>
      <c r="I34" s="2" t="s">
        <v>58</v>
      </c>
      <c r="J34" s="2" t="s">
        <v>5</v>
      </c>
      <c r="K34" s="2">
        <v>3</v>
      </c>
      <c r="L34" s="2" t="s">
        <v>250</v>
      </c>
      <c r="M34" s="2"/>
      <c r="N34" s="3" t="str">
        <f>IFERROR(VLOOKUP(M34,Lookups!$A$2:$B$7,2,FALSE),"")</f>
        <v/>
      </c>
      <c r="O34" s="3" t="str">
        <f t="shared" ref="O34:O65" si="1">IF(N34="","",K34*N34)</f>
        <v/>
      </c>
      <c r="P34" s="2"/>
    </row>
    <row r="35" spans="1:16" ht="60" customHeight="1" x14ac:dyDescent="0.3">
      <c r="A35" s="2" t="s">
        <v>251</v>
      </c>
      <c r="B35" s="2" t="s">
        <v>45</v>
      </c>
      <c r="C35" s="2" t="s">
        <v>244</v>
      </c>
      <c r="D35" s="2" t="s">
        <v>245</v>
      </c>
      <c r="E35" s="2" t="s">
        <v>252</v>
      </c>
      <c r="F35" s="2" t="s">
        <v>253</v>
      </c>
      <c r="G35" s="2" t="s">
        <v>254</v>
      </c>
      <c r="H35" s="2" t="s">
        <v>255</v>
      </c>
      <c r="I35" s="2" t="s">
        <v>58</v>
      </c>
      <c r="J35" s="2" t="s">
        <v>7</v>
      </c>
      <c r="K35" s="2">
        <v>2</v>
      </c>
      <c r="L35" s="2" t="s">
        <v>256</v>
      </c>
      <c r="M35" s="2"/>
      <c r="N35" s="3" t="str">
        <f>IFERROR(VLOOKUP(M35,Lookups!$A$2:$B$7,2,FALSE),"")</f>
        <v/>
      </c>
      <c r="O35" s="3" t="str">
        <f t="shared" si="1"/>
        <v/>
      </c>
      <c r="P35" s="2"/>
    </row>
    <row r="36" spans="1:16" ht="60" customHeight="1" x14ac:dyDescent="0.3">
      <c r="A36" s="2" t="s">
        <v>257</v>
      </c>
      <c r="B36" s="2" t="s">
        <v>45</v>
      </c>
      <c r="C36" s="2" t="s">
        <v>244</v>
      </c>
      <c r="D36" s="2" t="s">
        <v>245</v>
      </c>
      <c r="E36" s="2" t="s">
        <v>258</v>
      </c>
      <c r="F36" s="2" t="s">
        <v>259</v>
      </c>
      <c r="G36" s="2" t="s">
        <v>260</v>
      </c>
      <c r="H36" s="2" t="s">
        <v>261</v>
      </c>
      <c r="I36" s="2" t="s">
        <v>50</v>
      </c>
      <c r="J36" s="2" t="s">
        <v>7</v>
      </c>
      <c r="K36" s="2">
        <v>2</v>
      </c>
      <c r="L36" s="2" t="s">
        <v>262</v>
      </c>
      <c r="M36" s="2"/>
      <c r="N36" s="3" t="str">
        <f>IFERROR(VLOOKUP(M36,Lookups!$A$2:$B$7,2,FALSE),"")</f>
        <v/>
      </c>
      <c r="O36" s="3" t="str">
        <f t="shared" si="1"/>
        <v/>
      </c>
      <c r="P36" s="2"/>
    </row>
    <row r="37" spans="1:16" ht="60" customHeight="1" x14ac:dyDescent="0.3">
      <c r="A37" s="2" t="s">
        <v>263</v>
      </c>
      <c r="B37" s="2" t="s">
        <v>45</v>
      </c>
      <c r="C37" s="2" t="s">
        <v>244</v>
      </c>
      <c r="D37" s="2" t="s">
        <v>245</v>
      </c>
      <c r="E37" s="2" t="s">
        <v>264</v>
      </c>
      <c r="F37" s="2" t="s">
        <v>265</v>
      </c>
      <c r="G37" s="2" t="s">
        <v>266</v>
      </c>
      <c r="H37" s="2" t="s">
        <v>267</v>
      </c>
      <c r="I37" s="2" t="s">
        <v>71</v>
      </c>
      <c r="J37" s="2" t="s">
        <v>7</v>
      </c>
      <c r="K37" s="2">
        <v>2</v>
      </c>
      <c r="L37" s="2" t="s">
        <v>268</v>
      </c>
      <c r="M37" s="2"/>
      <c r="N37" s="3" t="str">
        <f>IFERROR(VLOOKUP(M37,Lookups!$A$2:$B$7,2,FALSE),"")</f>
        <v/>
      </c>
      <c r="O37" s="3" t="str">
        <f t="shared" si="1"/>
        <v/>
      </c>
      <c r="P37" s="2"/>
    </row>
    <row r="38" spans="1:16" ht="60" customHeight="1" x14ac:dyDescent="0.3">
      <c r="A38" s="2" t="s">
        <v>269</v>
      </c>
      <c r="B38" s="2" t="s">
        <v>45</v>
      </c>
      <c r="C38" s="2" t="s">
        <v>244</v>
      </c>
      <c r="D38" s="2" t="s">
        <v>245</v>
      </c>
      <c r="E38" s="2" t="s">
        <v>270</v>
      </c>
      <c r="F38" s="2" t="s">
        <v>271</v>
      </c>
      <c r="G38" s="2" t="s">
        <v>272</v>
      </c>
      <c r="H38" s="2" t="s">
        <v>273</v>
      </c>
      <c r="I38" s="2" t="s">
        <v>71</v>
      </c>
      <c r="J38" s="2" t="s">
        <v>7</v>
      </c>
      <c r="K38" s="2">
        <v>2</v>
      </c>
      <c r="L38" s="2" t="s">
        <v>274</v>
      </c>
      <c r="M38" s="2"/>
      <c r="N38" s="3" t="str">
        <f>IFERROR(VLOOKUP(M38,Lookups!$A$2:$B$7,2,FALSE),"")</f>
        <v/>
      </c>
      <c r="O38" s="3" t="str">
        <f t="shared" si="1"/>
        <v/>
      </c>
      <c r="P38" s="2"/>
    </row>
    <row r="39" spans="1:16" ht="60" customHeight="1" x14ac:dyDescent="0.3">
      <c r="A39" s="2" t="s">
        <v>275</v>
      </c>
      <c r="B39" s="2" t="s">
        <v>45</v>
      </c>
      <c r="C39" s="2" t="s">
        <v>244</v>
      </c>
      <c r="D39" s="2" t="s">
        <v>276</v>
      </c>
      <c r="E39" s="2" t="s">
        <v>277</v>
      </c>
      <c r="F39" s="2" t="s">
        <v>278</v>
      </c>
      <c r="G39" s="2" t="s">
        <v>279</v>
      </c>
      <c r="H39" s="2" t="s">
        <v>280</v>
      </c>
      <c r="I39" s="2" t="s">
        <v>42</v>
      </c>
      <c r="J39" s="2" t="s">
        <v>9</v>
      </c>
      <c r="K39" s="2">
        <v>1</v>
      </c>
      <c r="L39" s="2" t="s">
        <v>281</v>
      </c>
      <c r="M39" s="2"/>
      <c r="N39" s="3" t="str">
        <f>IFERROR(VLOOKUP(M39,Lookups!$A$2:$B$7,2,FALSE),"")</f>
        <v/>
      </c>
      <c r="O39" s="3" t="str">
        <f t="shared" si="1"/>
        <v/>
      </c>
      <c r="P39" s="2"/>
    </row>
    <row r="40" spans="1:16" ht="60" customHeight="1" x14ac:dyDescent="0.3">
      <c r="A40" s="2" t="s">
        <v>282</v>
      </c>
      <c r="B40" s="2" t="s">
        <v>45</v>
      </c>
      <c r="C40" s="2" t="s">
        <v>244</v>
      </c>
      <c r="D40" s="2" t="s">
        <v>276</v>
      </c>
      <c r="E40" s="2" t="s">
        <v>283</v>
      </c>
      <c r="F40" s="2" t="s">
        <v>284</v>
      </c>
      <c r="G40" s="2" t="s">
        <v>285</v>
      </c>
      <c r="H40" s="2" t="s">
        <v>286</v>
      </c>
      <c r="I40" s="2" t="s">
        <v>50</v>
      </c>
      <c r="J40" s="2" t="s">
        <v>7</v>
      </c>
      <c r="K40" s="2">
        <v>2</v>
      </c>
      <c r="L40" s="2" t="s">
        <v>287</v>
      </c>
      <c r="M40" s="2"/>
      <c r="N40" s="3" t="str">
        <f>IFERROR(VLOOKUP(M40,Lookups!$A$2:$B$7,2,FALSE),"")</f>
        <v/>
      </c>
      <c r="O40" s="3" t="str">
        <f t="shared" si="1"/>
        <v/>
      </c>
      <c r="P40" s="2"/>
    </row>
    <row r="41" spans="1:16" ht="60" customHeight="1" x14ac:dyDescent="0.3">
      <c r="A41" s="2" t="s">
        <v>288</v>
      </c>
      <c r="B41" s="2" t="s">
        <v>45</v>
      </c>
      <c r="C41" s="2" t="s">
        <v>244</v>
      </c>
      <c r="D41" s="2" t="s">
        <v>276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71</v>
      </c>
      <c r="J41" s="2" t="s">
        <v>9</v>
      </c>
      <c r="K41" s="2">
        <v>1</v>
      </c>
      <c r="L41" s="2" t="s">
        <v>293</v>
      </c>
      <c r="M41" s="2"/>
      <c r="N41" s="3" t="str">
        <f>IFERROR(VLOOKUP(M41,Lookups!$A$2:$B$7,2,FALSE),"")</f>
        <v/>
      </c>
      <c r="O41" s="3" t="str">
        <f t="shared" si="1"/>
        <v/>
      </c>
      <c r="P41" s="2"/>
    </row>
    <row r="42" spans="1:16" ht="60" customHeight="1" x14ac:dyDescent="0.3">
      <c r="A42" s="2" t="s">
        <v>294</v>
      </c>
      <c r="B42" s="2" t="s">
        <v>45</v>
      </c>
      <c r="C42" s="2" t="s">
        <v>244</v>
      </c>
      <c r="D42" s="2" t="s">
        <v>276</v>
      </c>
      <c r="E42" s="2" t="s">
        <v>295</v>
      </c>
      <c r="F42" s="2" t="s">
        <v>296</v>
      </c>
      <c r="G42" s="2" t="s">
        <v>297</v>
      </c>
      <c r="H42" s="2" t="s">
        <v>298</v>
      </c>
      <c r="I42" s="2" t="s">
        <v>299</v>
      </c>
      <c r="J42" s="2" t="s">
        <v>9</v>
      </c>
      <c r="K42" s="2">
        <v>1</v>
      </c>
      <c r="L42" s="2" t="s">
        <v>300</v>
      </c>
      <c r="M42" s="2"/>
      <c r="N42" s="3" t="str">
        <f>IFERROR(VLOOKUP(M42,Lookups!$A$2:$B$7,2,FALSE),"")</f>
        <v/>
      </c>
      <c r="O42" s="3" t="str">
        <f t="shared" si="1"/>
        <v/>
      </c>
      <c r="P42" s="2"/>
    </row>
    <row r="43" spans="1:16" ht="60" customHeight="1" x14ac:dyDescent="0.3">
      <c r="A43" s="2" t="s">
        <v>301</v>
      </c>
      <c r="B43" s="2" t="s">
        <v>45</v>
      </c>
      <c r="C43" s="2" t="s">
        <v>244</v>
      </c>
      <c r="D43" s="2" t="s">
        <v>276</v>
      </c>
      <c r="E43" s="2" t="s">
        <v>302</v>
      </c>
      <c r="F43" s="2" t="s">
        <v>303</v>
      </c>
      <c r="G43" s="2" t="s">
        <v>304</v>
      </c>
      <c r="H43" s="2" t="s">
        <v>305</v>
      </c>
      <c r="I43" s="2" t="s">
        <v>71</v>
      </c>
      <c r="J43" s="2" t="s">
        <v>9</v>
      </c>
      <c r="K43" s="2">
        <v>1</v>
      </c>
      <c r="L43" s="2" t="s">
        <v>306</v>
      </c>
      <c r="M43" s="2"/>
      <c r="N43" s="3" t="str">
        <f>IFERROR(VLOOKUP(M43,Lookups!$A$2:$B$7,2,FALSE),"")</f>
        <v/>
      </c>
      <c r="O43" s="3" t="str">
        <f t="shared" si="1"/>
        <v/>
      </c>
      <c r="P43" s="2"/>
    </row>
    <row r="44" spans="1:16" ht="60" customHeight="1" x14ac:dyDescent="0.3">
      <c r="A44" s="2" t="s">
        <v>307</v>
      </c>
      <c r="B44" s="2" t="s">
        <v>45</v>
      </c>
      <c r="C44" s="2" t="s">
        <v>244</v>
      </c>
      <c r="D44" s="2" t="s">
        <v>308</v>
      </c>
      <c r="E44" s="2" t="s">
        <v>309</v>
      </c>
      <c r="F44" s="2" t="s">
        <v>310</v>
      </c>
      <c r="G44" s="2" t="s">
        <v>311</v>
      </c>
      <c r="H44" s="2" t="s">
        <v>312</v>
      </c>
      <c r="I44" s="2" t="s">
        <v>71</v>
      </c>
      <c r="J44" s="2" t="s">
        <v>9</v>
      </c>
      <c r="K44" s="2">
        <v>1</v>
      </c>
      <c r="L44" s="2" t="s">
        <v>313</v>
      </c>
      <c r="M44" s="2"/>
      <c r="N44" s="3" t="str">
        <f>IFERROR(VLOOKUP(M44,Lookups!$A$2:$B$7,2,FALSE),"")</f>
        <v/>
      </c>
      <c r="O44" s="3" t="str">
        <f t="shared" si="1"/>
        <v/>
      </c>
      <c r="P44" s="2"/>
    </row>
    <row r="45" spans="1:16" ht="60" customHeight="1" x14ac:dyDescent="0.3">
      <c r="A45" s="2" t="s">
        <v>314</v>
      </c>
      <c r="B45" s="2" t="s">
        <v>45</v>
      </c>
      <c r="C45" s="2" t="s">
        <v>244</v>
      </c>
      <c r="D45" s="2" t="s">
        <v>308</v>
      </c>
      <c r="E45" s="2" t="s">
        <v>315</v>
      </c>
      <c r="F45" s="2" t="s">
        <v>316</v>
      </c>
      <c r="G45" s="2" t="s">
        <v>317</v>
      </c>
      <c r="H45" s="2" t="s">
        <v>318</v>
      </c>
      <c r="I45" s="2" t="s">
        <v>71</v>
      </c>
      <c r="J45" s="2" t="s">
        <v>9</v>
      </c>
      <c r="K45" s="2">
        <v>1</v>
      </c>
      <c r="L45" s="2" t="s">
        <v>319</v>
      </c>
      <c r="M45" s="2"/>
      <c r="N45" s="3" t="str">
        <f>IFERROR(VLOOKUP(M45,Lookups!$A$2:$B$7,2,FALSE),"")</f>
        <v/>
      </c>
      <c r="O45" s="3" t="str">
        <f t="shared" si="1"/>
        <v/>
      </c>
      <c r="P45" s="2"/>
    </row>
    <row r="46" spans="1:16" ht="60" customHeight="1" x14ac:dyDescent="0.3">
      <c r="A46" s="2" t="s">
        <v>320</v>
      </c>
      <c r="B46" s="2" t="s">
        <v>45</v>
      </c>
      <c r="C46" s="2" t="s">
        <v>244</v>
      </c>
      <c r="D46" s="2" t="s">
        <v>321</v>
      </c>
      <c r="E46" s="2" t="s">
        <v>322</v>
      </c>
      <c r="F46" s="2" t="s">
        <v>323</v>
      </c>
      <c r="G46" s="2" t="s">
        <v>324</v>
      </c>
      <c r="H46" s="2" t="s">
        <v>325</v>
      </c>
      <c r="I46" s="2" t="s">
        <v>122</v>
      </c>
      <c r="J46" s="2" t="s">
        <v>9</v>
      </c>
      <c r="K46" s="2">
        <v>1</v>
      </c>
      <c r="L46" s="2" t="s">
        <v>326</v>
      </c>
      <c r="M46" s="2"/>
      <c r="N46" s="3" t="str">
        <f>IFERROR(VLOOKUP(M46,Lookups!$A$2:$B$7,2,FALSE),"")</f>
        <v/>
      </c>
      <c r="O46" s="3" t="str">
        <f t="shared" si="1"/>
        <v/>
      </c>
      <c r="P46" s="2"/>
    </row>
    <row r="47" spans="1:16" ht="60" customHeight="1" x14ac:dyDescent="0.3">
      <c r="A47" s="2" t="s">
        <v>327</v>
      </c>
      <c r="B47" s="2" t="s">
        <v>45</v>
      </c>
      <c r="C47" s="2" t="s">
        <v>244</v>
      </c>
      <c r="D47" s="2" t="s">
        <v>328</v>
      </c>
      <c r="E47" s="2" t="s">
        <v>329</v>
      </c>
      <c r="F47" s="2" t="s">
        <v>330</v>
      </c>
      <c r="G47" s="2" t="s">
        <v>331</v>
      </c>
      <c r="H47" s="2" t="s">
        <v>332</v>
      </c>
      <c r="I47" s="2" t="s">
        <v>71</v>
      </c>
      <c r="J47" s="2" t="s">
        <v>9</v>
      </c>
      <c r="K47" s="2">
        <v>1</v>
      </c>
      <c r="L47" s="2" t="s">
        <v>333</v>
      </c>
      <c r="M47" s="2"/>
      <c r="N47" s="3" t="str">
        <f>IFERROR(VLOOKUP(M47,Lookups!$A$2:$B$7,2,FALSE),"")</f>
        <v/>
      </c>
      <c r="O47" s="3" t="str">
        <f t="shared" si="1"/>
        <v/>
      </c>
      <c r="P47" s="2"/>
    </row>
    <row r="48" spans="1:16" ht="60" customHeight="1" x14ac:dyDescent="0.3">
      <c r="A48" s="2" t="s">
        <v>334</v>
      </c>
      <c r="B48" s="2" t="s">
        <v>45</v>
      </c>
      <c r="C48" s="2" t="s">
        <v>244</v>
      </c>
      <c r="D48" s="2" t="s">
        <v>328</v>
      </c>
      <c r="E48" s="2" t="s">
        <v>335</v>
      </c>
      <c r="F48" s="2" t="s">
        <v>336</v>
      </c>
      <c r="G48" s="2" t="s">
        <v>337</v>
      </c>
      <c r="H48" s="2" t="s">
        <v>338</v>
      </c>
      <c r="I48" s="2" t="s">
        <v>42</v>
      </c>
      <c r="J48" s="2" t="s">
        <v>9</v>
      </c>
      <c r="K48" s="2">
        <v>1</v>
      </c>
      <c r="L48" s="2" t="s">
        <v>339</v>
      </c>
      <c r="M48" s="2"/>
      <c r="N48" s="3" t="str">
        <f>IFERROR(VLOOKUP(M48,Lookups!$A$2:$B$7,2,FALSE),"")</f>
        <v/>
      </c>
      <c r="O48" s="3" t="str">
        <f t="shared" si="1"/>
        <v/>
      </c>
      <c r="P48" s="2"/>
    </row>
    <row r="49" spans="1:16" ht="60" customHeight="1" x14ac:dyDescent="0.3">
      <c r="A49" s="2" t="s">
        <v>340</v>
      </c>
      <c r="B49" s="2" t="s">
        <v>45</v>
      </c>
      <c r="C49" s="2" t="s">
        <v>244</v>
      </c>
      <c r="D49" s="2" t="s">
        <v>328</v>
      </c>
      <c r="E49" s="2" t="s">
        <v>341</v>
      </c>
      <c r="F49" s="2" t="s">
        <v>342</v>
      </c>
      <c r="G49" s="2" t="s">
        <v>343</v>
      </c>
      <c r="H49" s="2" t="s">
        <v>344</v>
      </c>
      <c r="I49" s="2" t="s">
        <v>71</v>
      </c>
      <c r="J49" s="2" t="s">
        <v>9</v>
      </c>
      <c r="K49" s="2">
        <v>1</v>
      </c>
      <c r="L49" s="2" t="s">
        <v>345</v>
      </c>
      <c r="M49" s="2"/>
      <c r="N49" s="3" t="str">
        <f>IFERROR(VLOOKUP(M49,Lookups!$A$2:$B$7,2,FALSE),"")</f>
        <v/>
      </c>
      <c r="O49" s="3" t="str">
        <f t="shared" si="1"/>
        <v/>
      </c>
      <c r="P49" s="2"/>
    </row>
    <row r="50" spans="1:16" ht="60" customHeight="1" x14ac:dyDescent="0.3">
      <c r="A50" s="2" t="s">
        <v>346</v>
      </c>
      <c r="B50" s="2" t="s">
        <v>45</v>
      </c>
      <c r="C50" s="2" t="s">
        <v>244</v>
      </c>
      <c r="D50" s="2" t="s">
        <v>347</v>
      </c>
      <c r="E50" s="2" t="s">
        <v>348</v>
      </c>
      <c r="F50" s="2" t="s">
        <v>349</v>
      </c>
      <c r="G50" s="2" t="s">
        <v>350</v>
      </c>
      <c r="H50" s="2" t="s">
        <v>351</v>
      </c>
      <c r="I50" s="2" t="s">
        <v>71</v>
      </c>
      <c r="J50" s="2" t="s">
        <v>9</v>
      </c>
      <c r="K50" s="2">
        <v>1</v>
      </c>
      <c r="L50" s="2" t="s">
        <v>352</v>
      </c>
      <c r="M50" s="2"/>
      <c r="N50" s="3" t="str">
        <f>IFERROR(VLOOKUP(M50,Lookups!$A$2:$B$7,2,FALSE),"")</f>
        <v/>
      </c>
      <c r="O50" s="3" t="str">
        <f t="shared" si="1"/>
        <v/>
      </c>
      <c r="P50" s="2"/>
    </row>
    <row r="51" spans="1:16" ht="60" customHeight="1" x14ac:dyDescent="0.3">
      <c r="A51" s="2" t="s">
        <v>353</v>
      </c>
      <c r="B51" s="2" t="s">
        <v>45</v>
      </c>
      <c r="C51" s="2" t="s">
        <v>244</v>
      </c>
      <c r="D51" s="2" t="s">
        <v>347</v>
      </c>
      <c r="E51" s="2" t="s">
        <v>354</v>
      </c>
      <c r="F51" s="2" t="s">
        <v>355</v>
      </c>
      <c r="G51" s="2" t="s">
        <v>356</v>
      </c>
      <c r="H51" s="2" t="s">
        <v>357</v>
      </c>
      <c r="I51" s="2" t="s">
        <v>42</v>
      </c>
      <c r="J51" s="2" t="s">
        <v>9</v>
      </c>
      <c r="K51" s="2">
        <v>1</v>
      </c>
      <c r="L51" s="2" t="s">
        <v>358</v>
      </c>
      <c r="M51" s="2"/>
      <c r="N51" s="3" t="str">
        <f>IFERROR(VLOOKUP(M51,Lookups!$A$2:$B$7,2,FALSE),"")</f>
        <v/>
      </c>
      <c r="O51" s="3" t="str">
        <f t="shared" si="1"/>
        <v/>
      </c>
      <c r="P51" s="2"/>
    </row>
    <row r="52" spans="1:16" ht="60" customHeight="1" x14ac:dyDescent="0.3">
      <c r="A52" s="2" t="s">
        <v>359</v>
      </c>
      <c r="B52" s="2" t="s">
        <v>45</v>
      </c>
      <c r="C52" s="2" t="s">
        <v>244</v>
      </c>
      <c r="D52" s="2" t="s">
        <v>360</v>
      </c>
      <c r="E52" s="2" t="s">
        <v>361</v>
      </c>
      <c r="F52" s="2" t="s">
        <v>362</v>
      </c>
      <c r="G52" s="2" t="s">
        <v>363</v>
      </c>
      <c r="H52" s="2" t="s">
        <v>364</v>
      </c>
      <c r="I52" s="2" t="s">
        <v>213</v>
      </c>
      <c r="J52" s="2" t="s">
        <v>7</v>
      </c>
      <c r="K52" s="2">
        <v>2</v>
      </c>
      <c r="L52" s="2" t="s">
        <v>365</v>
      </c>
      <c r="M52" s="2"/>
      <c r="N52" s="3" t="str">
        <f>IFERROR(VLOOKUP(M52,Lookups!$A$2:$B$7,2,FALSE),"")</f>
        <v/>
      </c>
      <c r="O52" s="3" t="str">
        <f t="shared" si="1"/>
        <v/>
      </c>
      <c r="P52" s="2"/>
    </row>
    <row r="53" spans="1:16" ht="60" customHeight="1" x14ac:dyDescent="0.3">
      <c r="A53" s="2" t="s">
        <v>366</v>
      </c>
      <c r="B53" s="2" t="s">
        <v>45</v>
      </c>
      <c r="C53" s="2" t="s">
        <v>244</v>
      </c>
      <c r="D53" s="2" t="s">
        <v>360</v>
      </c>
      <c r="E53" s="2" t="s">
        <v>367</v>
      </c>
      <c r="F53" s="2" t="s">
        <v>368</v>
      </c>
      <c r="G53" s="2" t="s">
        <v>369</v>
      </c>
      <c r="H53" s="2" t="s">
        <v>370</v>
      </c>
      <c r="I53" s="2" t="s">
        <v>50</v>
      </c>
      <c r="J53" s="2" t="s">
        <v>7</v>
      </c>
      <c r="K53" s="2">
        <v>2</v>
      </c>
      <c r="L53" s="2" t="s">
        <v>371</v>
      </c>
      <c r="M53" s="2"/>
      <c r="N53" s="3" t="str">
        <f>IFERROR(VLOOKUP(M53,Lookups!$A$2:$B$7,2,FALSE),"")</f>
        <v/>
      </c>
      <c r="O53" s="3" t="str">
        <f t="shared" si="1"/>
        <v/>
      </c>
      <c r="P53" s="2"/>
    </row>
    <row r="54" spans="1:16" ht="60" customHeight="1" x14ac:dyDescent="0.3">
      <c r="A54" s="2" t="s">
        <v>372</v>
      </c>
      <c r="B54" s="2" t="s">
        <v>45</v>
      </c>
      <c r="C54" s="2" t="s">
        <v>244</v>
      </c>
      <c r="D54" s="2" t="s">
        <v>360</v>
      </c>
      <c r="E54" s="2" t="s">
        <v>373</v>
      </c>
      <c r="F54" s="2" t="s">
        <v>374</v>
      </c>
      <c r="G54" s="2" t="s">
        <v>375</v>
      </c>
      <c r="H54" s="2" t="s">
        <v>376</v>
      </c>
      <c r="I54" s="2" t="s">
        <v>42</v>
      </c>
      <c r="J54" s="2" t="s">
        <v>7</v>
      </c>
      <c r="K54" s="2">
        <v>2</v>
      </c>
      <c r="L54" s="2" t="s">
        <v>377</v>
      </c>
      <c r="M54" s="2"/>
      <c r="N54" s="3" t="str">
        <f>IFERROR(VLOOKUP(M54,Lookups!$A$2:$B$7,2,FALSE),"")</f>
        <v/>
      </c>
      <c r="O54" s="3" t="str">
        <f t="shared" si="1"/>
        <v/>
      </c>
      <c r="P54" s="2"/>
    </row>
    <row r="55" spans="1:16" ht="60" customHeight="1" x14ac:dyDescent="0.3">
      <c r="A55" s="2" t="s">
        <v>378</v>
      </c>
      <c r="B55" s="2" t="s">
        <v>28</v>
      </c>
      <c r="C55" s="2" t="s">
        <v>379</v>
      </c>
      <c r="D55" s="2" t="s">
        <v>380</v>
      </c>
      <c r="E55" s="2" t="s">
        <v>381</v>
      </c>
      <c r="F55" s="2" t="s">
        <v>382</v>
      </c>
      <c r="G55" s="2" t="s">
        <v>383</v>
      </c>
      <c r="H55" s="2" t="s">
        <v>384</v>
      </c>
      <c r="I55" s="2" t="s">
        <v>213</v>
      </c>
      <c r="J55" s="2" t="s">
        <v>5</v>
      </c>
      <c r="K55" s="2">
        <v>3</v>
      </c>
      <c r="L55" s="2" t="s">
        <v>385</v>
      </c>
      <c r="M55" s="2"/>
      <c r="N55" s="3" t="str">
        <f>IFERROR(VLOOKUP(M55,Lookups!$A$2:$B$7,2,FALSE),"")</f>
        <v/>
      </c>
      <c r="O55" s="3" t="str">
        <f t="shared" si="1"/>
        <v/>
      </c>
      <c r="P55" s="2"/>
    </row>
    <row r="56" spans="1:16" ht="60" customHeight="1" x14ac:dyDescent="0.3">
      <c r="A56" s="2" t="s">
        <v>386</v>
      </c>
      <c r="B56" s="2" t="s">
        <v>28</v>
      </c>
      <c r="C56" s="2" t="s">
        <v>379</v>
      </c>
      <c r="D56" s="2" t="s">
        <v>380</v>
      </c>
      <c r="E56" s="2" t="s">
        <v>387</v>
      </c>
      <c r="F56" s="2" t="s">
        <v>388</v>
      </c>
      <c r="G56" s="2" t="s">
        <v>389</v>
      </c>
      <c r="H56" s="2" t="s">
        <v>390</v>
      </c>
      <c r="I56" s="2" t="s">
        <v>58</v>
      </c>
      <c r="J56" s="2" t="s">
        <v>5</v>
      </c>
      <c r="K56" s="2">
        <v>3</v>
      </c>
      <c r="L56" s="2" t="s">
        <v>391</v>
      </c>
      <c r="M56" s="2"/>
      <c r="N56" s="3" t="str">
        <f>IFERROR(VLOOKUP(M56,Lookups!$A$2:$B$7,2,FALSE),"")</f>
        <v/>
      </c>
      <c r="O56" s="3" t="str">
        <f t="shared" si="1"/>
        <v/>
      </c>
      <c r="P56" s="2"/>
    </row>
    <row r="57" spans="1:16" ht="60" customHeight="1" x14ac:dyDescent="0.3">
      <c r="A57" s="2" t="s">
        <v>392</v>
      </c>
      <c r="B57" s="2" t="s">
        <v>45</v>
      </c>
      <c r="C57" s="2" t="s">
        <v>379</v>
      </c>
      <c r="D57" s="2" t="s">
        <v>380</v>
      </c>
      <c r="E57" s="2" t="s">
        <v>393</v>
      </c>
      <c r="F57" s="2" t="s">
        <v>394</v>
      </c>
      <c r="G57" s="2" t="s">
        <v>395</v>
      </c>
      <c r="H57" s="2" t="s">
        <v>396</v>
      </c>
      <c r="I57" s="2" t="s">
        <v>71</v>
      </c>
      <c r="J57" s="2" t="s">
        <v>7</v>
      </c>
      <c r="K57" s="2">
        <v>2</v>
      </c>
      <c r="L57" s="2" t="s">
        <v>397</v>
      </c>
      <c r="M57" s="2"/>
      <c r="N57" s="3" t="str">
        <f>IFERROR(VLOOKUP(M57,Lookups!$A$2:$B$7,2,FALSE),"")</f>
        <v/>
      </c>
      <c r="O57" s="3" t="str">
        <f t="shared" si="1"/>
        <v/>
      </c>
      <c r="P57" s="2"/>
    </row>
    <row r="58" spans="1:16" ht="60" customHeight="1" x14ac:dyDescent="0.3">
      <c r="A58" s="2" t="s">
        <v>398</v>
      </c>
      <c r="B58" s="2" t="s">
        <v>45</v>
      </c>
      <c r="C58" s="2" t="s">
        <v>379</v>
      </c>
      <c r="D58" s="2" t="s">
        <v>380</v>
      </c>
      <c r="E58" s="2" t="s">
        <v>399</v>
      </c>
      <c r="F58" s="2" t="s">
        <v>400</v>
      </c>
      <c r="G58" s="2" t="s">
        <v>401</v>
      </c>
      <c r="H58" s="2" t="s">
        <v>402</v>
      </c>
      <c r="I58" s="2" t="s">
        <v>50</v>
      </c>
      <c r="J58" s="2" t="s">
        <v>7</v>
      </c>
      <c r="K58" s="2">
        <v>2</v>
      </c>
      <c r="L58" s="2" t="s">
        <v>403</v>
      </c>
      <c r="M58" s="2"/>
      <c r="N58" s="3" t="str">
        <f>IFERROR(VLOOKUP(M58,Lookups!$A$2:$B$7,2,FALSE),"")</f>
        <v/>
      </c>
      <c r="O58" s="3" t="str">
        <f t="shared" si="1"/>
        <v/>
      </c>
      <c r="P58" s="2"/>
    </row>
    <row r="59" spans="1:16" ht="60" customHeight="1" x14ac:dyDescent="0.3">
      <c r="A59" s="2" t="s">
        <v>404</v>
      </c>
      <c r="B59" s="2" t="s">
        <v>45</v>
      </c>
      <c r="C59" s="2" t="s">
        <v>379</v>
      </c>
      <c r="D59" s="2" t="s">
        <v>380</v>
      </c>
      <c r="E59" s="2" t="s">
        <v>405</v>
      </c>
      <c r="F59" s="2" t="s">
        <v>406</v>
      </c>
      <c r="G59" s="2" t="s">
        <v>407</v>
      </c>
      <c r="H59" s="2" t="s">
        <v>408</v>
      </c>
      <c r="I59" s="2" t="s">
        <v>42</v>
      </c>
      <c r="J59" s="2" t="s">
        <v>7</v>
      </c>
      <c r="K59" s="2">
        <v>2</v>
      </c>
      <c r="L59" s="2" t="s">
        <v>409</v>
      </c>
      <c r="M59" s="2"/>
      <c r="N59" s="3" t="str">
        <f>IFERROR(VLOOKUP(M59,Lookups!$A$2:$B$7,2,FALSE),"")</f>
        <v/>
      </c>
      <c r="O59" s="3" t="str">
        <f t="shared" si="1"/>
        <v/>
      </c>
      <c r="P59" s="2"/>
    </row>
    <row r="60" spans="1:16" ht="60" customHeight="1" x14ac:dyDescent="0.3">
      <c r="A60" s="2" t="s">
        <v>410</v>
      </c>
      <c r="B60" s="2" t="s">
        <v>45</v>
      </c>
      <c r="C60" s="2" t="s">
        <v>379</v>
      </c>
      <c r="D60" s="2" t="s">
        <v>411</v>
      </c>
      <c r="E60" s="2" t="s">
        <v>412</v>
      </c>
      <c r="F60" s="2" t="s">
        <v>413</v>
      </c>
      <c r="G60" s="2" t="s">
        <v>414</v>
      </c>
      <c r="H60" s="2" t="s">
        <v>415</v>
      </c>
      <c r="I60" s="2" t="s">
        <v>71</v>
      </c>
      <c r="J60" s="2" t="s">
        <v>7</v>
      </c>
      <c r="K60" s="2">
        <v>2</v>
      </c>
      <c r="L60" s="2" t="s">
        <v>416</v>
      </c>
      <c r="M60" s="2"/>
      <c r="N60" s="3" t="str">
        <f>IFERROR(VLOOKUP(M60,Lookups!$A$2:$B$7,2,FALSE),"")</f>
        <v/>
      </c>
      <c r="O60" s="3" t="str">
        <f t="shared" si="1"/>
        <v/>
      </c>
      <c r="P60" s="2"/>
    </row>
    <row r="61" spans="1:16" ht="60" customHeight="1" x14ac:dyDescent="0.3">
      <c r="A61" s="2" t="s">
        <v>417</v>
      </c>
      <c r="B61" s="2" t="s">
        <v>45</v>
      </c>
      <c r="C61" s="2" t="s">
        <v>379</v>
      </c>
      <c r="D61" s="2" t="s">
        <v>411</v>
      </c>
      <c r="E61" s="2" t="s">
        <v>418</v>
      </c>
      <c r="F61" s="2" t="s">
        <v>419</v>
      </c>
      <c r="G61" s="2" t="s">
        <v>420</v>
      </c>
      <c r="H61" s="2" t="s">
        <v>421</v>
      </c>
      <c r="I61" s="2" t="s">
        <v>58</v>
      </c>
      <c r="J61" s="2" t="s">
        <v>7</v>
      </c>
      <c r="K61" s="2">
        <v>2</v>
      </c>
      <c r="L61" s="2" t="s">
        <v>422</v>
      </c>
      <c r="M61" s="2"/>
      <c r="N61" s="3" t="str">
        <f>IFERROR(VLOOKUP(M61,Lookups!$A$2:$B$7,2,FALSE),"")</f>
        <v/>
      </c>
      <c r="O61" s="3" t="str">
        <f t="shared" si="1"/>
        <v/>
      </c>
      <c r="P61" s="2"/>
    </row>
    <row r="62" spans="1:16" ht="60" customHeight="1" x14ac:dyDescent="0.3">
      <c r="A62" s="2" t="s">
        <v>423</v>
      </c>
      <c r="B62" s="2" t="s">
        <v>45</v>
      </c>
      <c r="C62" s="2" t="s">
        <v>379</v>
      </c>
      <c r="D62" s="2" t="s">
        <v>411</v>
      </c>
      <c r="E62" s="2" t="s">
        <v>424</v>
      </c>
      <c r="F62" s="2" t="s">
        <v>425</v>
      </c>
      <c r="G62" s="2" t="s">
        <v>426</v>
      </c>
      <c r="H62" s="2" t="s">
        <v>427</v>
      </c>
      <c r="I62" s="2" t="s">
        <v>58</v>
      </c>
      <c r="J62" s="2" t="s">
        <v>7</v>
      </c>
      <c r="K62" s="2">
        <v>2</v>
      </c>
      <c r="L62" s="2" t="s">
        <v>428</v>
      </c>
      <c r="M62" s="2"/>
      <c r="N62" s="3" t="str">
        <f>IFERROR(VLOOKUP(M62,Lookups!$A$2:$B$7,2,FALSE),"")</f>
        <v/>
      </c>
      <c r="O62" s="3" t="str">
        <f t="shared" si="1"/>
        <v/>
      </c>
      <c r="P62" s="2"/>
    </row>
    <row r="63" spans="1:16" ht="60" customHeight="1" x14ac:dyDescent="0.3">
      <c r="A63" s="2" t="s">
        <v>429</v>
      </c>
      <c r="B63" s="2" t="s">
        <v>28</v>
      </c>
      <c r="C63" s="2" t="s">
        <v>430</v>
      </c>
      <c r="D63" s="2" t="s">
        <v>431</v>
      </c>
      <c r="E63" s="2" t="s">
        <v>432</v>
      </c>
      <c r="F63" s="2" t="s">
        <v>433</v>
      </c>
      <c r="G63" s="2" t="s">
        <v>434</v>
      </c>
      <c r="H63" s="2" t="s">
        <v>435</v>
      </c>
      <c r="I63" s="2" t="s">
        <v>58</v>
      </c>
      <c r="J63" s="2" t="s">
        <v>5</v>
      </c>
      <c r="K63" s="2">
        <v>3</v>
      </c>
      <c r="L63" s="2" t="s">
        <v>436</v>
      </c>
      <c r="M63" s="2"/>
      <c r="N63" s="3" t="str">
        <f>IFERROR(VLOOKUP(M63,Lookups!$A$2:$B$7,2,FALSE),"")</f>
        <v/>
      </c>
      <c r="O63" s="3" t="str">
        <f t="shared" si="1"/>
        <v/>
      </c>
      <c r="P63" s="2"/>
    </row>
    <row r="64" spans="1:16" ht="60" customHeight="1" x14ac:dyDescent="0.3">
      <c r="A64" s="2" t="s">
        <v>437</v>
      </c>
      <c r="B64" s="2" t="s">
        <v>45</v>
      </c>
      <c r="C64" s="2" t="s">
        <v>430</v>
      </c>
      <c r="D64" s="2" t="s">
        <v>431</v>
      </c>
      <c r="E64" s="2" t="s">
        <v>438</v>
      </c>
      <c r="F64" s="2" t="s">
        <v>439</v>
      </c>
      <c r="G64" s="2" t="s">
        <v>440</v>
      </c>
      <c r="H64" s="2" t="s">
        <v>441</v>
      </c>
      <c r="I64" s="2" t="s">
        <v>71</v>
      </c>
      <c r="J64" s="2" t="s">
        <v>7</v>
      </c>
      <c r="K64" s="2">
        <v>2</v>
      </c>
      <c r="L64" s="2" t="s">
        <v>442</v>
      </c>
      <c r="M64" s="2"/>
      <c r="N64" s="3" t="str">
        <f>IFERROR(VLOOKUP(M64,Lookups!$A$2:$B$7,2,FALSE),"")</f>
        <v/>
      </c>
      <c r="O64" s="3" t="str">
        <f t="shared" si="1"/>
        <v/>
      </c>
      <c r="P64" s="2"/>
    </row>
    <row r="65" spans="1:16" ht="60" customHeight="1" x14ac:dyDescent="0.3">
      <c r="A65" s="2" t="s">
        <v>443</v>
      </c>
      <c r="B65" s="2" t="s">
        <v>45</v>
      </c>
      <c r="C65" s="2" t="s">
        <v>430</v>
      </c>
      <c r="D65" s="2" t="s">
        <v>431</v>
      </c>
      <c r="E65" s="2" t="s">
        <v>444</v>
      </c>
      <c r="F65" s="2" t="s">
        <v>445</v>
      </c>
      <c r="G65" s="2" t="s">
        <v>446</v>
      </c>
      <c r="H65" s="2" t="s">
        <v>447</v>
      </c>
      <c r="I65" s="2" t="s">
        <v>71</v>
      </c>
      <c r="J65" s="2" t="s">
        <v>7</v>
      </c>
      <c r="K65" s="2">
        <v>2</v>
      </c>
      <c r="L65" s="2" t="s">
        <v>448</v>
      </c>
      <c r="M65" s="2"/>
      <c r="N65" s="3" t="str">
        <f>IFERROR(VLOOKUP(M65,Lookups!$A$2:$B$7,2,FALSE),"")</f>
        <v/>
      </c>
      <c r="O65" s="3" t="str">
        <f t="shared" si="1"/>
        <v/>
      </c>
      <c r="P65" s="2"/>
    </row>
    <row r="66" spans="1:16" ht="60" customHeight="1" x14ac:dyDescent="0.3">
      <c r="A66" s="2" t="s">
        <v>449</v>
      </c>
      <c r="B66" s="2" t="s">
        <v>28</v>
      </c>
      <c r="C66" s="2" t="s">
        <v>430</v>
      </c>
      <c r="D66" s="2" t="s">
        <v>431</v>
      </c>
      <c r="E66" s="2" t="s">
        <v>450</v>
      </c>
      <c r="F66" s="2" t="s">
        <v>451</v>
      </c>
      <c r="G66" s="2" t="s">
        <v>452</v>
      </c>
      <c r="H66" s="2" t="s">
        <v>453</v>
      </c>
      <c r="I66" s="2" t="s">
        <v>58</v>
      </c>
      <c r="J66" s="2" t="s">
        <v>5</v>
      </c>
      <c r="K66" s="2">
        <v>3</v>
      </c>
      <c r="L66" s="2" t="s">
        <v>454</v>
      </c>
      <c r="M66" s="2"/>
      <c r="N66" s="3" t="str">
        <f>IFERROR(VLOOKUP(M66,Lookups!$A$2:$B$7,2,FALSE),"")</f>
        <v/>
      </c>
      <c r="O66" s="3" t="str">
        <f t="shared" ref="O66:O97" si="2">IF(N66="","",K66*N66)</f>
        <v/>
      </c>
      <c r="P66" s="2"/>
    </row>
    <row r="67" spans="1:16" ht="60" customHeight="1" x14ac:dyDescent="0.3">
      <c r="A67" s="2" t="s">
        <v>455</v>
      </c>
      <c r="B67" s="2" t="s">
        <v>45</v>
      </c>
      <c r="C67" s="2" t="s">
        <v>430</v>
      </c>
      <c r="D67" s="2" t="s">
        <v>431</v>
      </c>
      <c r="E67" s="2" t="s">
        <v>456</v>
      </c>
      <c r="F67" s="2" t="s">
        <v>457</v>
      </c>
      <c r="G67" s="2" t="s">
        <v>458</v>
      </c>
      <c r="H67" s="2" t="s">
        <v>459</v>
      </c>
      <c r="I67" s="2" t="s">
        <v>71</v>
      </c>
      <c r="J67" s="2" t="s">
        <v>7</v>
      </c>
      <c r="K67" s="2">
        <v>2</v>
      </c>
      <c r="L67" s="2" t="s">
        <v>460</v>
      </c>
      <c r="M67" s="2"/>
      <c r="N67" s="3" t="str">
        <f>IFERROR(VLOOKUP(M67,Lookups!$A$2:$B$7,2,FALSE),"")</f>
        <v/>
      </c>
      <c r="O67" s="3" t="str">
        <f t="shared" si="2"/>
        <v/>
      </c>
      <c r="P67" s="2"/>
    </row>
    <row r="68" spans="1:16" ht="60" customHeight="1" x14ac:dyDescent="0.3">
      <c r="A68" s="2" t="s">
        <v>461</v>
      </c>
      <c r="B68" s="2" t="s">
        <v>28</v>
      </c>
      <c r="C68" s="2" t="s">
        <v>430</v>
      </c>
      <c r="D68" s="2" t="s">
        <v>462</v>
      </c>
      <c r="E68" s="2" t="s">
        <v>463</v>
      </c>
      <c r="F68" s="2" t="s">
        <v>464</v>
      </c>
      <c r="G68" s="2" t="s">
        <v>465</v>
      </c>
      <c r="H68" s="2" t="s">
        <v>466</v>
      </c>
      <c r="I68" s="2" t="s">
        <v>58</v>
      </c>
      <c r="J68" s="2" t="s">
        <v>5</v>
      </c>
      <c r="K68" s="2">
        <v>3</v>
      </c>
      <c r="L68" s="2" t="s">
        <v>467</v>
      </c>
      <c r="M68" s="2"/>
      <c r="N68" s="3" t="str">
        <f>IFERROR(VLOOKUP(M68,Lookups!$A$2:$B$7,2,FALSE),"")</f>
        <v/>
      </c>
      <c r="O68" s="3" t="str">
        <f t="shared" si="2"/>
        <v/>
      </c>
      <c r="P68" s="2"/>
    </row>
    <row r="69" spans="1:16" ht="60" customHeight="1" x14ac:dyDescent="0.3">
      <c r="A69" s="2" t="s">
        <v>468</v>
      </c>
      <c r="B69" s="2" t="s">
        <v>45</v>
      </c>
      <c r="C69" s="2" t="s">
        <v>430</v>
      </c>
      <c r="D69" s="2" t="s">
        <v>462</v>
      </c>
      <c r="E69" s="2" t="s">
        <v>469</v>
      </c>
      <c r="F69" s="2" t="s">
        <v>470</v>
      </c>
      <c r="G69" s="2" t="s">
        <v>471</v>
      </c>
      <c r="H69" s="2" t="s">
        <v>472</v>
      </c>
      <c r="I69" s="2" t="s">
        <v>71</v>
      </c>
      <c r="J69" s="2" t="s">
        <v>7</v>
      </c>
      <c r="K69" s="2">
        <v>2</v>
      </c>
      <c r="L69" s="2" t="s">
        <v>473</v>
      </c>
      <c r="M69" s="2"/>
      <c r="N69" s="3" t="str">
        <f>IFERROR(VLOOKUP(M69,Lookups!$A$2:$B$7,2,FALSE),"")</f>
        <v/>
      </c>
      <c r="O69" s="3" t="str">
        <f t="shared" si="2"/>
        <v/>
      </c>
      <c r="P69" s="2"/>
    </row>
    <row r="70" spans="1:16" ht="60" customHeight="1" x14ac:dyDescent="0.3">
      <c r="A70" s="2" t="s">
        <v>474</v>
      </c>
      <c r="B70" s="2" t="s">
        <v>28</v>
      </c>
      <c r="C70" s="2" t="s">
        <v>430</v>
      </c>
      <c r="D70" s="2" t="s">
        <v>462</v>
      </c>
      <c r="E70" s="2" t="s">
        <v>475</v>
      </c>
      <c r="F70" s="2" t="s">
        <v>476</v>
      </c>
      <c r="G70" s="2" t="s">
        <v>477</v>
      </c>
      <c r="H70" s="2" t="s">
        <v>478</v>
      </c>
      <c r="I70" s="2" t="s">
        <v>71</v>
      </c>
      <c r="J70" s="2" t="s">
        <v>5</v>
      </c>
      <c r="K70" s="2">
        <v>3</v>
      </c>
      <c r="L70" s="2" t="s">
        <v>479</v>
      </c>
      <c r="M70" s="2"/>
      <c r="N70" s="3" t="str">
        <f>IFERROR(VLOOKUP(M70,Lookups!$A$2:$B$7,2,FALSE),"")</f>
        <v/>
      </c>
      <c r="O70" s="3" t="str">
        <f t="shared" si="2"/>
        <v/>
      </c>
      <c r="P70" s="2"/>
    </row>
    <row r="71" spans="1:16" ht="60" customHeight="1" x14ac:dyDescent="0.3">
      <c r="A71" s="2" t="s">
        <v>480</v>
      </c>
      <c r="B71" s="2" t="s">
        <v>28</v>
      </c>
      <c r="C71" s="2" t="s">
        <v>430</v>
      </c>
      <c r="D71" s="2" t="s">
        <v>462</v>
      </c>
      <c r="E71" s="2" t="s">
        <v>481</v>
      </c>
      <c r="F71" s="2" t="s">
        <v>482</v>
      </c>
      <c r="G71" s="2" t="s">
        <v>483</v>
      </c>
      <c r="H71" s="2" t="s">
        <v>484</v>
      </c>
      <c r="I71" s="2" t="s">
        <v>42</v>
      </c>
      <c r="J71" s="2" t="s">
        <v>5</v>
      </c>
      <c r="K71" s="2">
        <v>3</v>
      </c>
      <c r="L71" s="2" t="s">
        <v>485</v>
      </c>
      <c r="M71" s="2"/>
      <c r="N71" s="3" t="str">
        <f>IFERROR(VLOOKUP(M71,Lookups!$A$2:$B$7,2,FALSE),"")</f>
        <v/>
      </c>
      <c r="O71" s="3" t="str">
        <f t="shared" si="2"/>
        <v/>
      </c>
      <c r="P71" s="2"/>
    </row>
    <row r="72" spans="1:16" ht="60" customHeight="1" x14ac:dyDescent="0.3">
      <c r="A72" s="2" t="s">
        <v>486</v>
      </c>
      <c r="B72" s="2" t="s">
        <v>28</v>
      </c>
      <c r="C72" s="2" t="s">
        <v>430</v>
      </c>
      <c r="D72" s="2" t="s">
        <v>462</v>
      </c>
      <c r="E72" s="2" t="s">
        <v>487</v>
      </c>
      <c r="F72" s="2" t="s">
        <v>488</v>
      </c>
      <c r="G72" s="2" t="s">
        <v>489</v>
      </c>
      <c r="H72" s="2" t="s">
        <v>490</v>
      </c>
      <c r="I72" s="2" t="s">
        <v>42</v>
      </c>
      <c r="J72" s="2" t="s">
        <v>5</v>
      </c>
      <c r="K72" s="2">
        <v>3</v>
      </c>
      <c r="L72" s="2" t="s">
        <v>491</v>
      </c>
      <c r="M72" s="2"/>
      <c r="N72" s="3" t="str">
        <f>IFERROR(VLOOKUP(M72,Lookups!$A$2:$B$7,2,FALSE),"")</f>
        <v/>
      </c>
      <c r="O72" s="3" t="str">
        <f t="shared" si="2"/>
        <v/>
      </c>
      <c r="P72" s="2"/>
    </row>
    <row r="73" spans="1:16" ht="60" customHeight="1" x14ac:dyDescent="0.3">
      <c r="A73" s="2" t="s">
        <v>492</v>
      </c>
      <c r="B73" s="2" t="s">
        <v>28</v>
      </c>
      <c r="C73" s="2" t="s">
        <v>493</v>
      </c>
      <c r="D73" s="2" t="s">
        <v>494</v>
      </c>
      <c r="E73" s="2" t="s">
        <v>495</v>
      </c>
      <c r="F73" s="2" t="s">
        <v>496</v>
      </c>
      <c r="G73" s="2" t="s">
        <v>497</v>
      </c>
      <c r="H73" s="2" t="s">
        <v>498</v>
      </c>
      <c r="I73" s="2" t="s">
        <v>50</v>
      </c>
      <c r="J73" s="2" t="s">
        <v>5</v>
      </c>
      <c r="K73" s="2">
        <v>3</v>
      </c>
      <c r="L73" s="2" t="s">
        <v>499</v>
      </c>
      <c r="M73" s="2"/>
      <c r="N73" s="3" t="str">
        <f>IFERROR(VLOOKUP(M73,Lookups!$A$2:$B$7,2,FALSE),"")</f>
        <v/>
      </c>
      <c r="O73" s="3" t="str">
        <f t="shared" si="2"/>
        <v/>
      </c>
      <c r="P73" s="2"/>
    </row>
    <row r="74" spans="1:16" ht="60" customHeight="1" x14ac:dyDescent="0.3">
      <c r="A74" s="2" t="s">
        <v>500</v>
      </c>
      <c r="B74" s="2" t="s">
        <v>45</v>
      </c>
      <c r="C74" s="2" t="s">
        <v>493</v>
      </c>
      <c r="D74" s="2" t="s">
        <v>494</v>
      </c>
      <c r="E74" s="2" t="s">
        <v>501</v>
      </c>
      <c r="F74" s="2" t="s">
        <v>502</v>
      </c>
      <c r="G74" s="2" t="s">
        <v>503</v>
      </c>
      <c r="H74" s="2" t="s">
        <v>504</v>
      </c>
      <c r="I74" s="2" t="s">
        <v>71</v>
      </c>
      <c r="J74" s="2" t="s">
        <v>7</v>
      </c>
      <c r="K74" s="2">
        <v>2</v>
      </c>
      <c r="L74" s="2" t="s">
        <v>499</v>
      </c>
      <c r="M74" s="2"/>
      <c r="N74" s="3" t="str">
        <f>IFERROR(VLOOKUP(M74,Lookups!$A$2:$B$7,2,FALSE),"")</f>
        <v/>
      </c>
      <c r="O74" s="3" t="str">
        <f t="shared" si="2"/>
        <v/>
      </c>
      <c r="P74" s="2"/>
    </row>
    <row r="75" spans="1:16" ht="60" customHeight="1" x14ac:dyDescent="0.3">
      <c r="A75" s="2" t="s">
        <v>505</v>
      </c>
      <c r="B75" s="2" t="s">
        <v>45</v>
      </c>
      <c r="C75" s="2" t="s">
        <v>493</v>
      </c>
      <c r="D75" s="2" t="s">
        <v>506</v>
      </c>
      <c r="E75" s="2" t="s">
        <v>507</v>
      </c>
      <c r="F75" s="2" t="s">
        <v>508</v>
      </c>
      <c r="G75" s="2" t="s">
        <v>509</v>
      </c>
      <c r="H75" s="2" t="s">
        <v>510</v>
      </c>
      <c r="I75" s="2" t="s">
        <v>58</v>
      </c>
      <c r="J75" s="2" t="s">
        <v>7</v>
      </c>
      <c r="K75" s="2">
        <v>2</v>
      </c>
      <c r="L75" s="2" t="s">
        <v>511</v>
      </c>
      <c r="M75" s="2"/>
      <c r="N75" s="3" t="str">
        <f>IFERROR(VLOOKUP(M75,Lookups!$A$2:$B$7,2,FALSE),"")</f>
        <v/>
      </c>
      <c r="O75" s="3" t="str">
        <f t="shared" si="2"/>
        <v/>
      </c>
      <c r="P75" s="2"/>
    </row>
    <row r="76" spans="1:16" ht="60" customHeight="1" x14ac:dyDescent="0.3">
      <c r="A76" s="2" t="s">
        <v>512</v>
      </c>
      <c r="B76" s="2" t="s">
        <v>45</v>
      </c>
      <c r="C76" s="2" t="s">
        <v>493</v>
      </c>
      <c r="D76" s="2" t="s">
        <v>506</v>
      </c>
      <c r="E76" s="2" t="s">
        <v>513</v>
      </c>
      <c r="F76" s="2" t="s">
        <v>514</v>
      </c>
      <c r="G76" s="2" t="s">
        <v>515</v>
      </c>
      <c r="H76" s="2" t="s">
        <v>516</v>
      </c>
      <c r="I76" s="2" t="s">
        <v>213</v>
      </c>
      <c r="J76" s="2" t="s">
        <v>7</v>
      </c>
      <c r="K76" s="2">
        <v>2</v>
      </c>
      <c r="L76" s="2" t="s">
        <v>517</v>
      </c>
      <c r="M76" s="2"/>
      <c r="N76" s="3" t="str">
        <f>IFERROR(VLOOKUP(M76,Lookups!$A$2:$B$7,2,FALSE),"")</f>
        <v/>
      </c>
      <c r="O76" s="3" t="str">
        <f t="shared" si="2"/>
        <v/>
      </c>
      <c r="P76" s="2"/>
    </row>
    <row r="77" spans="1:16" ht="60" customHeight="1" x14ac:dyDescent="0.3">
      <c r="A77" s="2" t="s">
        <v>518</v>
      </c>
      <c r="B77" s="2" t="s">
        <v>45</v>
      </c>
      <c r="C77" s="2" t="s">
        <v>493</v>
      </c>
      <c r="D77" s="2" t="s">
        <v>506</v>
      </c>
      <c r="E77" s="2" t="s">
        <v>519</v>
      </c>
      <c r="F77" s="2" t="s">
        <v>520</v>
      </c>
      <c r="G77" s="2" t="s">
        <v>521</v>
      </c>
      <c r="H77" s="2" t="s">
        <v>522</v>
      </c>
      <c r="I77" s="2" t="s">
        <v>71</v>
      </c>
      <c r="J77" s="2" t="s">
        <v>9</v>
      </c>
      <c r="K77" s="2">
        <v>1</v>
      </c>
      <c r="L77" s="2" t="s">
        <v>523</v>
      </c>
      <c r="M77" s="2"/>
      <c r="N77" s="3" t="str">
        <f>IFERROR(VLOOKUP(M77,Lookups!$A$2:$B$7,2,FALSE),"")</f>
        <v/>
      </c>
      <c r="O77" s="3" t="str">
        <f t="shared" si="2"/>
        <v/>
      </c>
      <c r="P77" s="2"/>
    </row>
    <row r="78" spans="1:16" ht="60" customHeight="1" x14ac:dyDescent="0.3">
      <c r="A78" s="2" t="s">
        <v>524</v>
      </c>
      <c r="B78" s="2" t="s">
        <v>28</v>
      </c>
      <c r="C78" s="2" t="s">
        <v>493</v>
      </c>
      <c r="D78" s="2" t="s">
        <v>506</v>
      </c>
      <c r="E78" s="2" t="s">
        <v>525</v>
      </c>
      <c r="F78" s="2" t="s">
        <v>526</v>
      </c>
      <c r="G78" s="2" t="s">
        <v>527</v>
      </c>
      <c r="H78" s="2" t="s">
        <v>528</v>
      </c>
      <c r="I78" s="2" t="s">
        <v>71</v>
      </c>
      <c r="J78" s="2" t="s">
        <v>5</v>
      </c>
      <c r="K78" s="2">
        <v>3</v>
      </c>
      <c r="L78" s="2" t="s">
        <v>529</v>
      </c>
      <c r="M78" s="2"/>
      <c r="N78" s="3" t="str">
        <f>IFERROR(VLOOKUP(M78,Lookups!$A$2:$B$7,2,FALSE),"")</f>
        <v/>
      </c>
      <c r="O78" s="3" t="str">
        <f t="shared" si="2"/>
        <v/>
      </c>
      <c r="P78" s="2"/>
    </row>
    <row r="79" spans="1:16" ht="60" customHeight="1" x14ac:dyDescent="0.3">
      <c r="A79" s="2" t="s">
        <v>530</v>
      </c>
      <c r="B79" s="2" t="s">
        <v>28</v>
      </c>
      <c r="C79" s="2" t="s">
        <v>493</v>
      </c>
      <c r="D79" s="2" t="s">
        <v>531</v>
      </c>
      <c r="E79" s="2" t="s">
        <v>532</v>
      </c>
      <c r="F79" s="2" t="s">
        <v>533</v>
      </c>
      <c r="G79" s="2" t="s">
        <v>534</v>
      </c>
      <c r="H79" s="2" t="s">
        <v>535</v>
      </c>
      <c r="I79" s="2" t="s">
        <v>58</v>
      </c>
      <c r="J79" s="2" t="s">
        <v>5</v>
      </c>
      <c r="K79" s="2">
        <v>3</v>
      </c>
      <c r="L79" s="2" t="s">
        <v>536</v>
      </c>
      <c r="M79" s="2"/>
      <c r="N79" s="3" t="str">
        <f>IFERROR(VLOOKUP(M79,Lookups!$A$2:$B$7,2,FALSE),"")</f>
        <v/>
      </c>
      <c r="O79" s="3" t="str">
        <f t="shared" si="2"/>
        <v/>
      </c>
      <c r="P79" s="2"/>
    </row>
    <row r="80" spans="1:16" ht="60" customHeight="1" x14ac:dyDescent="0.3">
      <c r="A80" s="2" t="s">
        <v>537</v>
      </c>
      <c r="B80" s="2" t="s">
        <v>45</v>
      </c>
      <c r="C80" s="2" t="s">
        <v>493</v>
      </c>
      <c r="D80" s="2" t="s">
        <v>531</v>
      </c>
      <c r="E80" s="2" t="s">
        <v>538</v>
      </c>
      <c r="F80" s="2" t="s">
        <v>539</v>
      </c>
      <c r="G80" s="2" t="s">
        <v>540</v>
      </c>
      <c r="H80" s="2" t="s">
        <v>541</v>
      </c>
      <c r="I80" s="2" t="s">
        <v>71</v>
      </c>
      <c r="J80" s="2" t="s">
        <v>7</v>
      </c>
      <c r="K80" s="2">
        <v>2</v>
      </c>
      <c r="L80" s="2" t="s">
        <v>542</v>
      </c>
      <c r="M80" s="2"/>
      <c r="N80" s="3" t="str">
        <f>IFERROR(VLOOKUP(M80,Lookups!$A$2:$B$7,2,FALSE),"")</f>
        <v/>
      </c>
      <c r="O80" s="3" t="str">
        <f t="shared" si="2"/>
        <v/>
      </c>
      <c r="P80" s="2"/>
    </row>
    <row r="81" spans="1:16" ht="60" customHeight="1" x14ac:dyDescent="0.3">
      <c r="A81" s="2" t="s">
        <v>543</v>
      </c>
      <c r="B81" s="2" t="s">
        <v>45</v>
      </c>
      <c r="C81" s="2" t="s">
        <v>493</v>
      </c>
      <c r="D81" s="2" t="s">
        <v>531</v>
      </c>
      <c r="E81" s="2" t="s">
        <v>544</v>
      </c>
      <c r="F81" s="2" t="s">
        <v>545</v>
      </c>
      <c r="G81" s="2" t="s">
        <v>546</v>
      </c>
      <c r="H81" s="2" t="s">
        <v>547</v>
      </c>
      <c r="I81" s="2" t="s">
        <v>58</v>
      </c>
      <c r="J81" s="2" t="s">
        <v>9</v>
      </c>
      <c r="K81" s="2">
        <v>1</v>
      </c>
      <c r="L81" s="2" t="s">
        <v>548</v>
      </c>
      <c r="M81" s="2"/>
      <c r="N81" s="3" t="str">
        <f>IFERROR(VLOOKUP(M81,Lookups!$A$2:$B$7,2,FALSE),"")</f>
        <v/>
      </c>
      <c r="O81" s="3" t="str">
        <f t="shared" si="2"/>
        <v/>
      </c>
      <c r="P81" s="2"/>
    </row>
    <row r="82" spans="1:16" ht="60" customHeight="1" x14ac:dyDescent="0.3">
      <c r="A82" s="2" t="s">
        <v>549</v>
      </c>
      <c r="B82" s="2" t="s">
        <v>45</v>
      </c>
      <c r="C82" s="2" t="s">
        <v>493</v>
      </c>
      <c r="D82" s="2" t="s">
        <v>531</v>
      </c>
      <c r="E82" s="2" t="s">
        <v>550</v>
      </c>
      <c r="F82" s="2" t="s">
        <v>551</v>
      </c>
      <c r="G82" s="2" t="s">
        <v>552</v>
      </c>
      <c r="H82" s="2" t="s">
        <v>553</v>
      </c>
      <c r="I82" s="2" t="s">
        <v>71</v>
      </c>
      <c r="J82" s="2" t="s">
        <v>9</v>
      </c>
      <c r="K82" s="2">
        <v>1</v>
      </c>
      <c r="L82" s="2" t="s">
        <v>554</v>
      </c>
      <c r="M82" s="2"/>
      <c r="N82" s="3" t="str">
        <f>IFERROR(VLOOKUP(M82,Lookups!$A$2:$B$7,2,FALSE),"")</f>
        <v/>
      </c>
      <c r="O82" s="3" t="str">
        <f t="shared" si="2"/>
        <v/>
      </c>
      <c r="P82" s="2"/>
    </row>
    <row r="83" spans="1:16" ht="60" customHeight="1" x14ac:dyDescent="0.3">
      <c r="A83" s="2" t="s">
        <v>555</v>
      </c>
      <c r="B83" s="2" t="s">
        <v>28</v>
      </c>
      <c r="C83" s="2" t="s">
        <v>493</v>
      </c>
      <c r="D83" s="2" t="s">
        <v>556</v>
      </c>
      <c r="E83" s="2" t="s">
        <v>557</v>
      </c>
      <c r="F83" s="2" t="s">
        <v>558</v>
      </c>
      <c r="G83" s="2" t="s">
        <v>559</v>
      </c>
      <c r="H83" s="2" t="s">
        <v>560</v>
      </c>
      <c r="I83" s="2" t="s">
        <v>58</v>
      </c>
      <c r="J83" s="2" t="s">
        <v>5</v>
      </c>
      <c r="K83" s="2">
        <v>3</v>
      </c>
      <c r="L83" s="2" t="s">
        <v>561</v>
      </c>
      <c r="M83" s="2"/>
      <c r="N83" s="3" t="str">
        <f>IFERROR(VLOOKUP(M83,Lookups!$A$2:$B$7,2,FALSE),"")</f>
        <v/>
      </c>
      <c r="O83" s="3" t="str">
        <f t="shared" si="2"/>
        <v/>
      </c>
      <c r="P83" s="2"/>
    </row>
    <row r="84" spans="1:16" ht="60" customHeight="1" x14ac:dyDescent="0.3">
      <c r="A84" s="2" t="s">
        <v>562</v>
      </c>
      <c r="B84" s="2" t="s">
        <v>45</v>
      </c>
      <c r="C84" s="2" t="s">
        <v>493</v>
      </c>
      <c r="D84" s="2" t="s">
        <v>556</v>
      </c>
      <c r="E84" s="2" t="s">
        <v>563</v>
      </c>
      <c r="F84" s="2" t="s">
        <v>564</v>
      </c>
      <c r="G84" s="2" t="s">
        <v>565</v>
      </c>
      <c r="H84" s="2" t="s">
        <v>566</v>
      </c>
      <c r="I84" s="2" t="s">
        <v>58</v>
      </c>
      <c r="J84" s="2" t="s">
        <v>7</v>
      </c>
      <c r="K84" s="2">
        <v>2</v>
      </c>
      <c r="L84" s="2" t="s">
        <v>567</v>
      </c>
      <c r="M84" s="2"/>
      <c r="N84" s="3" t="str">
        <f>IFERROR(VLOOKUP(M84,Lookups!$A$2:$B$7,2,FALSE),"")</f>
        <v/>
      </c>
      <c r="O84" s="3" t="str">
        <f t="shared" si="2"/>
        <v/>
      </c>
      <c r="P84" s="2"/>
    </row>
    <row r="85" spans="1:16" ht="60" customHeight="1" x14ac:dyDescent="0.3">
      <c r="A85" s="2" t="s">
        <v>568</v>
      </c>
      <c r="B85" s="2" t="s">
        <v>28</v>
      </c>
      <c r="C85" s="2" t="s">
        <v>493</v>
      </c>
      <c r="D85" s="2" t="s">
        <v>556</v>
      </c>
      <c r="E85" s="2" t="s">
        <v>569</v>
      </c>
      <c r="F85" s="2" t="s">
        <v>570</v>
      </c>
      <c r="G85" s="2" t="s">
        <v>571</v>
      </c>
      <c r="H85" s="2" t="s">
        <v>572</v>
      </c>
      <c r="I85" s="2" t="s">
        <v>58</v>
      </c>
      <c r="J85" s="2" t="s">
        <v>5</v>
      </c>
      <c r="K85" s="2">
        <v>3</v>
      </c>
      <c r="L85" s="2" t="s">
        <v>573</v>
      </c>
      <c r="M85" s="2"/>
      <c r="N85" s="3" t="str">
        <f>IFERROR(VLOOKUP(M85,Lookups!$A$2:$B$7,2,FALSE),"")</f>
        <v/>
      </c>
      <c r="O85" s="3" t="str">
        <f t="shared" si="2"/>
        <v/>
      </c>
      <c r="P85" s="2"/>
    </row>
    <row r="86" spans="1:16" ht="60" customHeight="1" x14ac:dyDescent="0.3">
      <c r="A86" s="2" t="s">
        <v>574</v>
      </c>
      <c r="B86" s="2" t="s">
        <v>45</v>
      </c>
      <c r="C86" s="2" t="s">
        <v>493</v>
      </c>
      <c r="D86" s="2" t="s">
        <v>556</v>
      </c>
      <c r="E86" s="2" t="s">
        <v>575</v>
      </c>
      <c r="F86" s="2" t="s">
        <v>576</v>
      </c>
      <c r="G86" s="2" t="s">
        <v>577</v>
      </c>
      <c r="H86" s="2" t="s">
        <v>578</v>
      </c>
      <c r="I86" s="2" t="s">
        <v>71</v>
      </c>
      <c r="J86" s="2" t="s">
        <v>7</v>
      </c>
      <c r="K86" s="2">
        <v>2</v>
      </c>
      <c r="L86" s="2" t="s">
        <v>579</v>
      </c>
      <c r="M86" s="2"/>
      <c r="N86" s="3" t="str">
        <f>IFERROR(VLOOKUP(M86,Lookups!$A$2:$B$7,2,FALSE),"")</f>
        <v/>
      </c>
      <c r="O86" s="3" t="str">
        <f t="shared" si="2"/>
        <v/>
      </c>
      <c r="P86" s="2"/>
    </row>
    <row r="87" spans="1:16" ht="60" customHeight="1" x14ac:dyDescent="0.3">
      <c r="A87" s="2" t="s">
        <v>580</v>
      </c>
      <c r="B87" s="2" t="s">
        <v>28</v>
      </c>
      <c r="C87" s="2" t="s">
        <v>493</v>
      </c>
      <c r="D87" s="2" t="s">
        <v>581</v>
      </c>
      <c r="E87" s="2" t="s">
        <v>582</v>
      </c>
      <c r="F87" s="2" t="s">
        <v>583</v>
      </c>
      <c r="G87" s="2" t="s">
        <v>584</v>
      </c>
      <c r="H87" s="2" t="s">
        <v>585</v>
      </c>
      <c r="I87" s="2" t="s">
        <v>58</v>
      </c>
      <c r="J87" s="2" t="s">
        <v>5</v>
      </c>
      <c r="K87" s="2">
        <v>3</v>
      </c>
      <c r="L87" s="2" t="s">
        <v>586</v>
      </c>
      <c r="M87" s="2"/>
      <c r="N87" s="3" t="str">
        <f>IFERROR(VLOOKUP(M87,Lookups!$A$2:$B$7,2,FALSE),"")</f>
        <v/>
      </c>
      <c r="O87" s="3" t="str">
        <f t="shared" si="2"/>
        <v/>
      </c>
      <c r="P87" s="2"/>
    </row>
    <row r="88" spans="1:16" ht="60" customHeight="1" x14ac:dyDescent="0.3">
      <c r="A88" s="2" t="s">
        <v>587</v>
      </c>
      <c r="B88" s="2" t="s">
        <v>28</v>
      </c>
      <c r="C88" s="2" t="s">
        <v>493</v>
      </c>
      <c r="D88" s="2" t="s">
        <v>581</v>
      </c>
      <c r="E88" s="2" t="s">
        <v>588</v>
      </c>
      <c r="F88" s="2" t="s">
        <v>589</v>
      </c>
      <c r="G88" s="2" t="s">
        <v>590</v>
      </c>
      <c r="H88" s="2" t="s">
        <v>591</v>
      </c>
      <c r="I88" s="2" t="s">
        <v>58</v>
      </c>
      <c r="J88" s="2" t="s">
        <v>5</v>
      </c>
      <c r="K88" s="2">
        <v>3</v>
      </c>
      <c r="L88" s="2" t="s">
        <v>592</v>
      </c>
      <c r="M88" s="2"/>
      <c r="N88" s="3" t="str">
        <f>IFERROR(VLOOKUP(M88,Lookups!$A$2:$B$7,2,FALSE),"")</f>
        <v/>
      </c>
      <c r="O88" s="3" t="str">
        <f t="shared" si="2"/>
        <v/>
      </c>
      <c r="P88" s="2"/>
    </row>
    <row r="89" spans="1:16" ht="60" customHeight="1" x14ac:dyDescent="0.3">
      <c r="A89" s="2" t="s">
        <v>593</v>
      </c>
      <c r="B89" s="2" t="s">
        <v>45</v>
      </c>
      <c r="C89" s="2" t="s">
        <v>493</v>
      </c>
      <c r="D89" s="2" t="s">
        <v>594</v>
      </c>
      <c r="E89" s="2" t="s">
        <v>595</v>
      </c>
      <c r="F89" s="2" t="s">
        <v>596</v>
      </c>
      <c r="G89" s="2" t="s">
        <v>597</v>
      </c>
      <c r="H89" s="2" t="s">
        <v>598</v>
      </c>
      <c r="I89" s="2" t="s">
        <v>71</v>
      </c>
      <c r="J89" s="2" t="s">
        <v>9</v>
      </c>
      <c r="K89" s="2">
        <v>1</v>
      </c>
      <c r="L89" s="2" t="s">
        <v>599</v>
      </c>
      <c r="M89" s="2"/>
      <c r="N89" s="3" t="str">
        <f>IFERROR(VLOOKUP(M89,Lookups!$A$2:$B$7,2,FALSE),"")</f>
        <v/>
      </c>
      <c r="O89" s="3" t="str">
        <f t="shared" si="2"/>
        <v/>
      </c>
      <c r="P89" s="2"/>
    </row>
    <row r="90" spans="1:16" ht="60" customHeight="1" x14ac:dyDescent="0.3">
      <c r="A90" s="2" t="s">
        <v>600</v>
      </c>
      <c r="B90" s="2" t="s">
        <v>45</v>
      </c>
      <c r="C90" s="2" t="s">
        <v>493</v>
      </c>
      <c r="D90" s="2" t="s">
        <v>594</v>
      </c>
      <c r="E90" s="2" t="s">
        <v>601</v>
      </c>
      <c r="F90" s="2" t="s">
        <v>602</v>
      </c>
      <c r="G90" s="2" t="s">
        <v>603</v>
      </c>
      <c r="H90" s="2" t="s">
        <v>604</v>
      </c>
      <c r="I90" s="2" t="s">
        <v>58</v>
      </c>
      <c r="J90" s="2" t="s">
        <v>7</v>
      </c>
      <c r="K90" s="2">
        <v>2</v>
      </c>
      <c r="L90" s="2" t="s">
        <v>605</v>
      </c>
      <c r="M90" s="2"/>
      <c r="N90" s="3" t="str">
        <f>IFERROR(VLOOKUP(M90,Lookups!$A$2:$B$7,2,FALSE),"")</f>
        <v/>
      </c>
      <c r="O90" s="3" t="str">
        <f t="shared" si="2"/>
        <v/>
      </c>
      <c r="P90" s="2"/>
    </row>
    <row r="91" spans="1:16" ht="60" customHeight="1" x14ac:dyDescent="0.3">
      <c r="A91" s="2" t="s">
        <v>606</v>
      </c>
      <c r="B91" s="2" t="s">
        <v>45</v>
      </c>
      <c r="C91" s="2" t="s">
        <v>607</v>
      </c>
      <c r="D91" s="2"/>
      <c r="E91" s="2" t="s">
        <v>608</v>
      </c>
      <c r="F91" s="2" t="s">
        <v>609</v>
      </c>
      <c r="G91" s="2" t="s">
        <v>610</v>
      </c>
      <c r="H91" s="2" t="s">
        <v>611</v>
      </c>
      <c r="I91" s="2" t="s">
        <v>58</v>
      </c>
      <c r="J91" s="2" t="s">
        <v>7</v>
      </c>
      <c r="K91" s="2">
        <v>2</v>
      </c>
      <c r="L91" s="2" t="s">
        <v>612</v>
      </c>
      <c r="M91" s="2"/>
      <c r="N91" s="3" t="str">
        <f>IFERROR(VLOOKUP(M91,Lookups!$A$2:$B$7,2,FALSE),"")</f>
        <v/>
      </c>
      <c r="O91" s="3" t="str">
        <f t="shared" si="2"/>
        <v/>
      </c>
      <c r="P91" s="2"/>
    </row>
    <row r="92" spans="1:16" ht="60" customHeight="1" x14ac:dyDescent="0.3">
      <c r="A92" s="2" t="s">
        <v>613</v>
      </c>
      <c r="B92" s="2" t="s">
        <v>45</v>
      </c>
      <c r="C92" s="2" t="s">
        <v>607</v>
      </c>
      <c r="D92" s="2"/>
      <c r="E92" s="2" t="s">
        <v>614</v>
      </c>
      <c r="F92" s="2" t="s">
        <v>615</v>
      </c>
      <c r="G92" s="2" t="s">
        <v>616</v>
      </c>
      <c r="H92" s="2" t="s">
        <v>617</v>
      </c>
      <c r="I92" s="2" t="s">
        <v>71</v>
      </c>
      <c r="J92" s="2" t="s">
        <v>7</v>
      </c>
      <c r="K92" s="2">
        <v>2</v>
      </c>
      <c r="L92" s="2" t="s">
        <v>618</v>
      </c>
      <c r="M92" s="2"/>
      <c r="N92" s="3" t="str">
        <f>IFERROR(VLOOKUP(M92,Lookups!$A$2:$B$7,2,FALSE),"")</f>
        <v/>
      </c>
      <c r="O92" s="3" t="str">
        <f t="shared" si="2"/>
        <v/>
      </c>
      <c r="P92" s="2"/>
    </row>
    <row r="93" spans="1:16" ht="60" customHeight="1" x14ac:dyDescent="0.3">
      <c r="A93" s="2" t="s">
        <v>619</v>
      </c>
      <c r="B93" s="2" t="s">
        <v>45</v>
      </c>
      <c r="C93" s="2" t="s">
        <v>607</v>
      </c>
      <c r="D93" s="2"/>
      <c r="E93" s="2" t="s">
        <v>620</v>
      </c>
      <c r="F93" s="2" t="s">
        <v>621</v>
      </c>
      <c r="G93" s="2" t="s">
        <v>622</v>
      </c>
      <c r="H93" s="2" t="s">
        <v>623</v>
      </c>
      <c r="I93" s="2" t="s">
        <v>58</v>
      </c>
      <c r="J93" s="2" t="s">
        <v>9</v>
      </c>
      <c r="K93" s="2">
        <v>1</v>
      </c>
      <c r="L93" s="2" t="s">
        <v>624</v>
      </c>
      <c r="M93" s="2"/>
      <c r="N93" s="3" t="str">
        <f>IFERROR(VLOOKUP(M93,Lookups!$A$2:$B$7,2,FALSE),"")</f>
        <v/>
      </c>
      <c r="O93" s="3" t="str">
        <f t="shared" si="2"/>
        <v/>
      </c>
      <c r="P93" s="2"/>
    </row>
    <row r="94" spans="1:16" ht="60" customHeight="1" x14ac:dyDescent="0.3">
      <c r="A94" s="2" t="s">
        <v>625</v>
      </c>
      <c r="B94" s="2" t="s">
        <v>45</v>
      </c>
      <c r="C94" s="2" t="s">
        <v>607</v>
      </c>
      <c r="D94" s="2"/>
      <c r="E94" s="2" t="s">
        <v>626</v>
      </c>
      <c r="F94" s="2" t="s">
        <v>627</v>
      </c>
      <c r="G94" s="2" t="s">
        <v>628</v>
      </c>
      <c r="H94" s="2" t="s">
        <v>629</v>
      </c>
      <c r="I94" s="2" t="s">
        <v>58</v>
      </c>
      <c r="J94" s="2" t="s">
        <v>7</v>
      </c>
      <c r="K94" s="2">
        <v>2</v>
      </c>
      <c r="L94" s="2" t="s">
        <v>630</v>
      </c>
      <c r="M94" s="2"/>
      <c r="N94" s="3" t="str">
        <f>IFERROR(VLOOKUP(M94,Lookups!$A$2:$B$7,2,FALSE),"")</f>
        <v/>
      </c>
      <c r="O94" s="3" t="str">
        <f t="shared" si="2"/>
        <v/>
      </c>
      <c r="P94" s="2"/>
    </row>
    <row r="95" spans="1:16" ht="60" customHeight="1" x14ac:dyDescent="0.3">
      <c r="A95" s="2" t="s">
        <v>631</v>
      </c>
      <c r="B95" s="2" t="s">
        <v>45</v>
      </c>
      <c r="C95" s="2" t="s">
        <v>607</v>
      </c>
      <c r="D95" s="2"/>
      <c r="E95" s="2" t="s">
        <v>632</v>
      </c>
      <c r="F95" s="2" t="s">
        <v>633</v>
      </c>
      <c r="G95" s="2" t="s">
        <v>634</v>
      </c>
      <c r="H95" s="2" t="s">
        <v>635</v>
      </c>
      <c r="I95" s="2" t="s">
        <v>58</v>
      </c>
      <c r="J95" s="2" t="s">
        <v>7</v>
      </c>
      <c r="K95" s="2">
        <v>2</v>
      </c>
      <c r="L95" s="2" t="s">
        <v>636</v>
      </c>
      <c r="M95" s="2"/>
      <c r="N95" s="3" t="str">
        <f>IFERROR(VLOOKUP(M95,Lookups!$A$2:$B$7,2,FALSE),"")</f>
        <v/>
      </c>
      <c r="O95" s="3" t="str">
        <f t="shared" si="2"/>
        <v/>
      </c>
      <c r="P95" s="2"/>
    </row>
    <row r="96" spans="1:16" ht="60" customHeight="1" x14ac:dyDescent="0.3">
      <c r="A96" s="2" t="s">
        <v>637</v>
      </c>
      <c r="B96" s="2" t="s">
        <v>28</v>
      </c>
      <c r="C96" s="2" t="s">
        <v>638</v>
      </c>
      <c r="D96" s="2"/>
      <c r="E96" s="2" t="s">
        <v>639</v>
      </c>
      <c r="F96" s="2" t="s">
        <v>640</v>
      </c>
      <c r="G96" s="2" t="s">
        <v>641</v>
      </c>
      <c r="H96" s="2" t="s">
        <v>642</v>
      </c>
      <c r="I96" s="2" t="s">
        <v>58</v>
      </c>
      <c r="J96" s="2" t="s">
        <v>5</v>
      </c>
      <c r="K96" s="2">
        <v>3</v>
      </c>
      <c r="L96" s="2" t="s">
        <v>643</v>
      </c>
      <c r="M96" s="2"/>
      <c r="N96" s="3" t="str">
        <f>IFERROR(VLOOKUP(M96,Lookups!$A$2:$B$7,2,FALSE),"")</f>
        <v/>
      </c>
      <c r="O96" s="3" t="str">
        <f t="shared" si="2"/>
        <v/>
      </c>
      <c r="P96" s="2"/>
    </row>
    <row r="97" spans="1:16" ht="60" customHeight="1" x14ac:dyDescent="0.3">
      <c r="A97" s="2" t="s">
        <v>644</v>
      </c>
      <c r="B97" s="2" t="s">
        <v>45</v>
      </c>
      <c r="C97" s="2" t="s">
        <v>638</v>
      </c>
      <c r="D97" s="2"/>
      <c r="E97" s="2" t="s">
        <v>645</v>
      </c>
      <c r="F97" s="2" t="s">
        <v>646</v>
      </c>
      <c r="G97" s="2" t="s">
        <v>647</v>
      </c>
      <c r="H97" s="2" t="s">
        <v>648</v>
      </c>
      <c r="I97" s="2" t="s">
        <v>58</v>
      </c>
      <c r="J97" s="2" t="s">
        <v>7</v>
      </c>
      <c r="K97" s="2">
        <v>2</v>
      </c>
      <c r="L97" s="2" t="s">
        <v>649</v>
      </c>
      <c r="M97" s="2"/>
      <c r="N97" s="3" t="str">
        <f>IFERROR(VLOOKUP(M97,Lookups!$A$2:$B$7,2,FALSE),"")</f>
        <v/>
      </c>
      <c r="O97" s="3" t="str">
        <f t="shared" si="2"/>
        <v/>
      </c>
      <c r="P97" s="2"/>
    </row>
    <row r="98" spans="1:16" ht="60" customHeight="1" x14ac:dyDescent="0.3">
      <c r="A98" s="2" t="s">
        <v>650</v>
      </c>
      <c r="B98" s="2" t="s">
        <v>45</v>
      </c>
      <c r="C98" s="2" t="s">
        <v>638</v>
      </c>
      <c r="D98" s="2"/>
      <c r="E98" s="2" t="s">
        <v>651</v>
      </c>
      <c r="F98" s="2" t="s">
        <v>652</v>
      </c>
      <c r="G98" s="2" t="s">
        <v>653</v>
      </c>
      <c r="H98" s="2" t="s">
        <v>654</v>
      </c>
      <c r="I98" s="2" t="s">
        <v>58</v>
      </c>
      <c r="J98" s="2" t="s">
        <v>7</v>
      </c>
      <c r="K98" s="2">
        <v>2</v>
      </c>
      <c r="L98" s="2" t="s">
        <v>655</v>
      </c>
      <c r="M98" s="2"/>
      <c r="N98" s="3" t="str">
        <f>IFERROR(VLOOKUP(M98,Lookups!$A$2:$B$7,2,FALSE),"")</f>
        <v/>
      </c>
      <c r="O98" s="3" t="str">
        <f t="shared" ref="O98:O129" si="3">IF(N98="","",K98*N98)</f>
        <v/>
      </c>
      <c r="P98" s="2"/>
    </row>
    <row r="99" spans="1:16" ht="60" customHeight="1" x14ac:dyDescent="0.3">
      <c r="A99" s="2" t="s">
        <v>656</v>
      </c>
      <c r="B99" s="2" t="s">
        <v>45</v>
      </c>
      <c r="C99" s="2" t="s">
        <v>638</v>
      </c>
      <c r="D99" s="2"/>
      <c r="E99" s="2" t="s">
        <v>657</v>
      </c>
      <c r="F99" s="2" t="s">
        <v>658</v>
      </c>
      <c r="G99" s="2" t="s">
        <v>659</v>
      </c>
      <c r="H99" s="2" t="s">
        <v>660</v>
      </c>
      <c r="I99" s="2" t="s">
        <v>71</v>
      </c>
      <c r="J99" s="2" t="s">
        <v>9</v>
      </c>
      <c r="K99" s="2">
        <v>1</v>
      </c>
      <c r="L99" s="2" t="s">
        <v>661</v>
      </c>
      <c r="M99" s="2"/>
      <c r="N99" s="3" t="str">
        <f>IFERROR(VLOOKUP(M99,Lookups!$A$2:$B$7,2,FALSE),"")</f>
        <v/>
      </c>
      <c r="O99" s="3" t="str">
        <f t="shared" si="3"/>
        <v/>
      </c>
      <c r="P99" s="2"/>
    </row>
    <row r="100" spans="1:16" ht="60" customHeight="1" x14ac:dyDescent="0.3">
      <c r="A100" s="2" t="s">
        <v>662</v>
      </c>
      <c r="B100" s="2" t="s">
        <v>45</v>
      </c>
      <c r="C100" s="2" t="s">
        <v>638</v>
      </c>
      <c r="D100" s="2"/>
      <c r="E100" s="2" t="s">
        <v>663</v>
      </c>
      <c r="F100" s="2" t="s">
        <v>664</v>
      </c>
      <c r="G100" s="2" t="s">
        <v>665</v>
      </c>
      <c r="H100" s="2" t="s">
        <v>666</v>
      </c>
      <c r="I100" s="2" t="s">
        <v>58</v>
      </c>
      <c r="J100" s="2" t="s">
        <v>7</v>
      </c>
      <c r="K100" s="2">
        <v>2</v>
      </c>
      <c r="L100" s="2" t="s">
        <v>667</v>
      </c>
      <c r="M100" s="2"/>
      <c r="N100" s="3" t="str">
        <f>IFERROR(VLOOKUP(M100,Lookups!$A$2:$B$7,2,FALSE),"")</f>
        <v/>
      </c>
      <c r="O100" s="3" t="str">
        <f t="shared" si="3"/>
        <v/>
      </c>
      <c r="P100" s="2"/>
    </row>
    <row r="101" spans="1:16" ht="60" customHeight="1" x14ac:dyDescent="0.3">
      <c r="A101" s="2" t="s">
        <v>668</v>
      </c>
      <c r="B101" s="2" t="s">
        <v>45</v>
      </c>
      <c r="C101" s="2" t="s">
        <v>638</v>
      </c>
      <c r="D101" s="2"/>
      <c r="E101" s="2" t="s">
        <v>669</v>
      </c>
      <c r="F101" s="2" t="s">
        <v>670</v>
      </c>
      <c r="G101" s="2" t="s">
        <v>671</v>
      </c>
      <c r="H101" s="2" t="s">
        <v>672</v>
      </c>
      <c r="I101" s="2" t="s">
        <v>42</v>
      </c>
      <c r="J101" s="2" t="s">
        <v>9</v>
      </c>
      <c r="K101" s="2">
        <v>1</v>
      </c>
      <c r="L101" s="2" t="s">
        <v>673</v>
      </c>
      <c r="M101" s="2"/>
      <c r="N101" s="3" t="str">
        <f>IFERROR(VLOOKUP(M101,Lookups!$A$2:$B$7,2,FALSE),"")</f>
        <v/>
      </c>
      <c r="O101" s="3" t="str">
        <f t="shared" si="3"/>
        <v/>
      </c>
      <c r="P101" s="2"/>
    </row>
    <row r="102" spans="1:16" ht="60" customHeight="1" x14ac:dyDescent="0.3">
      <c r="A102" s="2" t="s">
        <v>674</v>
      </c>
      <c r="B102" s="2" t="s">
        <v>28</v>
      </c>
      <c r="C102" s="2" t="s">
        <v>638</v>
      </c>
      <c r="D102" s="2"/>
      <c r="E102" s="2" t="s">
        <v>675</v>
      </c>
      <c r="F102" s="2" t="s">
        <v>676</v>
      </c>
      <c r="G102" s="2" t="s">
        <v>677</v>
      </c>
      <c r="H102" s="2" t="s">
        <v>678</v>
      </c>
      <c r="I102" s="2" t="s">
        <v>58</v>
      </c>
      <c r="J102" s="2" t="s">
        <v>5</v>
      </c>
      <c r="K102" s="2">
        <v>3</v>
      </c>
      <c r="L102" s="2" t="s">
        <v>679</v>
      </c>
      <c r="M102" s="2"/>
      <c r="N102" s="3" t="str">
        <f>IFERROR(VLOOKUP(M102,Lookups!$A$2:$B$7,2,FALSE),"")</f>
        <v/>
      </c>
      <c r="O102" s="3" t="str">
        <f t="shared" si="3"/>
        <v/>
      </c>
      <c r="P102" s="2"/>
    </row>
    <row r="103" spans="1:16" ht="60" customHeight="1" x14ac:dyDescent="0.3">
      <c r="A103" s="2" t="s">
        <v>680</v>
      </c>
      <c r="B103" s="2" t="s">
        <v>45</v>
      </c>
      <c r="C103" s="2" t="s">
        <v>638</v>
      </c>
      <c r="D103" s="2"/>
      <c r="E103" s="2" t="s">
        <v>681</v>
      </c>
      <c r="F103" s="2" t="s">
        <v>682</v>
      </c>
      <c r="G103" s="2" t="s">
        <v>683</v>
      </c>
      <c r="H103" s="2" t="s">
        <v>684</v>
      </c>
      <c r="I103" s="2" t="s">
        <v>71</v>
      </c>
      <c r="J103" s="2" t="s">
        <v>7</v>
      </c>
      <c r="K103" s="2">
        <v>2</v>
      </c>
      <c r="L103" s="2" t="s">
        <v>685</v>
      </c>
      <c r="M103" s="2"/>
      <c r="N103" s="3" t="str">
        <f>IFERROR(VLOOKUP(M103,Lookups!$A$2:$B$7,2,FALSE),"")</f>
        <v/>
      </c>
      <c r="O103" s="3" t="str">
        <f t="shared" si="3"/>
        <v/>
      </c>
      <c r="P103" s="2"/>
    </row>
    <row r="104" spans="1:16" ht="60" customHeight="1" x14ac:dyDescent="0.3">
      <c r="A104" s="2" t="s">
        <v>686</v>
      </c>
      <c r="B104" s="2" t="s">
        <v>45</v>
      </c>
      <c r="C104" s="2" t="s">
        <v>638</v>
      </c>
      <c r="D104" s="2"/>
      <c r="E104" s="2" t="s">
        <v>687</v>
      </c>
      <c r="F104" s="2" t="s">
        <v>688</v>
      </c>
      <c r="G104" s="2" t="s">
        <v>689</v>
      </c>
      <c r="H104" s="2" t="s">
        <v>690</v>
      </c>
      <c r="I104" s="2" t="s">
        <v>58</v>
      </c>
      <c r="J104" s="2" t="s">
        <v>7</v>
      </c>
      <c r="K104" s="2">
        <v>2</v>
      </c>
      <c r="L104" s="2" t="s">
        <v>691</v>
      </c>
      <c r="M104" s="2"/>
      <c r="N104" s="3" t="str">
        <f>IFERROR(VLOOKUP(M104,Lookups!$A$2:$B$7,2,FALSE),"")</f>
        <v/>
      </c>
      <c r="O104" s="3" t="str">
        <f t="shared" si="3"/>
        <v/>
      </c>
      <c r="P104" s="2"/>
    </row>
    <row r="105" spans="1:16" ht="60" customHeight="1" x14ac:dyDescent="0.3">
      <c r="A105" s="2" t="s">
        <v>692</v>
      </c>
      <c r="B105" s="2" t="s">
        <v>45</v>
      </c>
      <c r="C105" s="2" t="s">
        <v>693</v>
      </c>
      <c r="D105" s="2"/>
      <c r="E105" s="2" t="s">
        <v>694</v>
      </c>
      <c r="F105" s="2" t="s">
        <v>695</v>
      </c>
      <c r="G105" s="2" t="s">
        <v>696</v>
      </c>
      <c r="H105" s="2" t="s">
        <v>697</v>
      </c>
      <c r="I105" s="2" t="s">
        <v>42</v>
      </c>
      <c r="J105" s="2" t="s">
        <v>7</v>
      </c>
      <c r="K105" s="2">
        <v>2</v>
      </c>
      <c r="L105" s="2" t="s">
        <v>698</v>
      </c>
      <c r="M105" s="2"/>
      <c r="N105" s="3" t="str">
        <f>IFERROR(VLOOKUP(M105,Lookups!$A$2:$B$7,2,FALSE),"")</f>
        <v/>
      </c>
      <c r="O105" s="3" t="str">
        <f t="shared" si="3"/>
        <v/>
      </c>
      <c r="P105" s="2"/>
    </row>
    <row r="106" spans="1:16" ht="60" customHeight="1" x14ac:dyDescent="0.3">
      <c r="A106" s="2" t="s">
        <v>699</v>
      </c>
      <c r="B106" s="2" t="s">
        <v>28</v>
      </c>
      <c r="C106" s="2" t="s">
        <v>693</v>
      </c>
      <c r="D106" s="2"/>
      <c r="E106" s="2" t="s">
        <v>700</v>
      </c>
      <c r="F106" s="2" t="s">
        <v>701</v>
      </c>
      <c r="G106" s="2" t="s">
        <v>702</v>
      </c>
      <c r="H106" s="2" t="s">
        <v>703</v>
      </c>
      <c r="I106" s="2" t="s">
        <v>299</v>
      </c>
      <c r="J106" s="2" t="s">
        <v>5</v>
      </c>
      <c r="K106" s="2">
        <v>3</v>
      </c>
      <c r="L106" s="2" t="s">
        <v>704</v>
      </c>
      <c r="M106" s="2"/>
      <c r="N106" s="3" t="str">
        <f>IFERROR(VLOOKUP(M106,Lookups!$A$2:$B$7,2,FALSE),"")</f>
        <v/>
      </c>
      <c r="O106" s="3" t="str">
        <f t="shared" si="3"/>
        <v/>
      </c>
      <c r="P106" s="2"/>
    </row>
    <row r="107" spans="1:16" ht="60" customHeight="1" x14ac:dyDescent="0.3">
      <c r="A107" s="2" t="s">
        <v>705</v>
      </c>
      <c r="B107" s="2" t="s">
        <v>45</v>
      </c>
      <c r="C107" s="2" t="s">
        <v>693</v>
      </c>
      <c r="D107" s="2"/>
      <c r="E107" s="2" t="s">
        <v>706</v>
      </c>
      <c r="F107" s="2" t="s">
        <v>707</v>
      </c>
      <c r="G107" s="2" t="s">
        <v>708</v>
      </c>
      <c r="H107" s="2" t="s">
        <v>709</v>
      </c>
      <c r="I107" s="2" t="s">
        <v>71</v>
      </c>
      <c r="J107" s="2" t="s">
        <v>7</v>
      </c>
      <c r="K107" s="2">
        <v>2</v>
      </c>
      <c r="L107" s="2" t="s">
        <v>710</v>
      </c>
      <c r="M107" s="2"/>
      <c r="N107" s="3" t="str">
        <f>IFERROR(VLOOKUP(M107,Lookups!$A$2:$B$7,2,FALSE),"")</f>
        <v/>
      </c>
      <c r="O107" s="3" t="str">
        <f t="shared" si="3"/>
        <v/>
      </c>
      <c r="P107" s="2"/>
    </row>
    <row r="108" spans="1:16" ht="60" customHeight="1" x14ac:dyDescent="0.3">
      <c r="A108" s="2" t="s">
        <v>711</v>
      </c>
      <c r="B108" s="2" t="s">
        <v>45</v>
      </c>
      <c r="C108" s="2" t="s">
        <v>693</v>
      </c>
      <c r="D108" s="2"/>
      <c r="E108" s="2" t="s">
        <v>712</v>
      </c>
      <c r="F108" s="2" t="s">
        <v>713</v>
      </c>
      <c r="G108" s="2" t="s">
        <v>714</v>
      </c>
      <c r="H108" s="2" t="s">
        <v>715</v>
      </c>
      <c r="I108" s="2" t="s">
        <v>71</v>
      </c>
      <c r="J108" s="2" t="s">
        <v>7</v>
      </c>
      <c r="K108" s="2">
        <v>2</v>
      </c>
      <c r="L108" s="2" t="s">
        <v>716</v>
      </c>
      <c r="M108" s="2"/>
      <c r="N108" s="3" t="str">
        <f>IFERROR(VLOOKUP(M108,Lookups!$A$2:$B$7,2,FALSE),"")</f>
        <v/>
      </c>
      <c r="O108" s="3" t="str">
        <f t="shared" si="3"/>
        <v/>
      </c>
      <c r="P108" s="2"/>
    </row>
    <row r="109" spans="1:16" ht="60" customHeight="1" x14ac:dyDescent="0.3">
      <c r="A109" s="2" t="s">
        <v>717</v>
      </c>
      <c r="B109" s="2" t="s">
        <v>28</v>
      </c>
      <c r="C109" s="2" t="s">
        <v>693</v>
      </c>
      <c r="D109" s="2"/>
      <c r="E109" s="2" t="s">
        <v>718</v>
      </c>
      <c r="F109" s="2" t="s">
        <v>719</v>
      </c>
      <c r="G109" s="2" t="s">
        <v>720</v>
      </c>
      <c r="H109" s="2" t="s">
        <v>721</v>
      </c>
      <c r="I109" s="2" t="s">
        <v>213</v>
      </c>
      <c r="J109" s="2" t="s">
        <v>5</v>
      </c>
      <c r="K109" s="2">
        <v>3</v>
      </c>
      <c r="L109" s="2" t="s">
        <v>722</v>
      </c>
      <c r="M109" s="2"/>
      <c r="N109" s="3" t="str">
        <f>IFERROR(VLOOKUP(M109,Lookups!$A$2:$B$7,2,FALSE),"")</f>
        <v/>
      </c>
      <c r="O109" s="3" t="str">
        <f t="shared" si="3"/>
        <v/>
      </c>
      <c r="P109" s="2"/>
    </row>
    <row r="110" spans="1:16" ht="60" customHeight="1" x14ac:dyDescent="0.3">
      <c r="A110" s="2" t="s">
        <v>723</v>
      </c>
      <c r="B110" s="2" t="s">
        <v>45</v>
      </c>
      <c r="C110" s="2" t="s">
        <v>693</v>
      </c>
      <c r="D110" s="2"/>
      <c r="E110" s="2" t="s">
        <v>724</v>
      </c>
      <c r="F110" s="2" t="s">
        <v>725</v>
      </c>
      <c r="G110" s="2" t="s">
        <v>726</v>
      </c>
      <c r="H110" s="2" t="s">
        <v>727</v>
      </c>
      <c r="I110" s="2" t="s">
        <v>71</v>
      </c>
      <c r="J110" s="2" t="s">
        <v>7</v>
      </c>
      <c r="K110" s="2">
        <v>2</v>
      </c>
      <c r="L110" s="2" t="s">
        <v>728</v>
      </c>
      <c r="M110" s="2"/>
      <c r="N110" s="3" t="str">
        <f>IFERROR(VLOOKUP(M110,Lookups!$A$2:$B$7,2,FALSE),"")</f>
        <v/>
      </c>
      <c r="O110" s="3" t="str">
        <f t="shared" si="3"/>
        <v/>
      </c>
      <c r="P110" s="2"/>
    </row>
    <row r="111" spans="1:16" ht="60" customHeight="1" x14ac:dyDescent="0.3">
      <c r="A111" s="2" t="s">
        <v>729</v>
      </c>
      <c r="B111" s="2" t="s">
        <v>28</v>
      </c>
      <c r="C111" s="2" t="s">
        <v>730</v>
      </c>
      <c r="D111" s="2" t="s">
        <v>731</v>
      </c>
      <c r="E111" s="2" t="s">
        <v>732</v>
      </c>
      <c r="F111" s="2" t="s">
        <v>733</v>
      </c>
      <c r="G111" s="2" t="s">
        <v>734</v>
      </c>
      <c r="H111" s="2" t="s">
        <v>735</v>
      </c>
      <c r="I111" s="2" t="s">
        <v>71</v>
      </c>
      <c r="J111" s="2" t="s">
        <v>5</v>
      </c>
      <c r="K111" s="2">
        <v>3</v>
      </c>
      <c r="L111" s="2" t="s">
        <v>736</v>
      </c>
      <c r="M111" s="2"/>
      <c r="N111" s="3" t="str">
        <f>IFERROR(VLOOKUP(M111,Lookups!$A$2:$B$7,2,FALSE),"")</f>
        <v/>
      </c>
      <c r="O111" s="3" t="str">
        <f t="shared" si="3"/>
        <v/>
      </c>
      <c r="P111" s="2"/>
    </row>
    <row r="112" spans="1:16" ht="60" customHeight="1" x14ac:dyDescent="0.3">
      <c r="A112" s="2" t="s">
        <v>737</v>
      </c>
      <c r="B112" s="2" t="s">
        <v>28</v>
      </c>
      <c r="C112" s="2" t="s">
        <v>730</v>
      </c>
      <c r="D112" s="2" t="s">
        <v>731</v>
      </c>
      <c r="E112" s="2" t="s">
        <v>738</v>
      </c>
      <c r="F112" s="2" t="s">
        <v>739</v>
      </c>
      <c r="G112" s="2" t="s">
        <v>740</v>
      </c>
      <c r="H112" s="2" t="s">
        <v>741</v>
      </c>
      <c r="I112" s="2" t="s">
        <v>58</v>
      </c>
      <c r="J112" s="2" t="s">
        <v>5</v>
      </c>
      <c r="K112" s="2">
        <v>3</v>
      </c>
      <c r="L112" s="2" t="s">
        <v>742</v>
      </c>
      <c r="M112" s="2"/>
      <c r="N112" s="3" t="str">
        <f>IFERROR(VLOOKUP(M112,Lookups!$A$2:$B$7,2,FALSE),"")</f>
        <v/>
      </c>
      <c r="O112" s="3" t="str">
        <f t="shared" si="3"/>
        <v/>
      </c>
      <c r="P112" s="2"/>
    </row>
    <row r="113" spans="1:16" ht="60" customHeight="1" x14ac:dyDescent="0.3">
      <c r="A113" s="2" t="s">
        <v>743</v>
      </c>
      <c r="B113" s="2" t="s">
        <v>28</v>
      </c>
      <c r="C113" s="2" t="s">
        <v>730</v>
      </c>
      <c r="D113" s="2" t="s">
        <v>744</v>
      </c>
      <c r="E113" s="2" t="s">
        <v>745</v>
      </c>
      <c r="F113" s="2" t="s">
        <v>746</v>
      </c>
      <c r="G113" s="2" t="s">
        <v>747</v>
      </c>
      <c r="H113" s="2" t="s">
        <v>748</v>
      </c>
      <c r="I113" s="2" t="s">
        <v>58</v>
      </c>
      <c r="J113" s="2" t="s">
        <v>5</v>
      </c>
      <c r="K113" s="2">
        <v>3</v>
      </c>
      <c r="L113" s="2" t="s">
        <v>749</v>
      </c>
      <c r="M113" s="2"/>
      <c r="N113" s="3" t="str">
        <f>IFERROR(VLOOKUP(M113,Lookups!$A$2:$B$7,2,FALSE),"")</f>
        <v/>
      </c>
      <c r="O113" s="3" t="str">
        <f t="shared" si="3"/>
        <v/>
      </c>
      <c r="P113" s="2"/>
    </row>
    <row r="114" spans="1:16" ht="60" customHeight="1" x14ac:dyDescent="0.3">
      <c r="A114" s="2" t="s">
        <v>750</v>
      </c>
      <c r="B114" s="2" t="s">
        <v>45</v>
      </c>
      <c r="C114" s="2" t="s">
        <v>730</v>
      </c>
      <c r="D114" s="2" t="s">
        <v>744</v>
      </c>
      <c r="E114" s="2" t="s">
        <v>751</v>
      </c>
      <c r="F114" s="2" t="s">
        <v>752</v>
      </c>
      <c r="G114" s="2" t="s">
        <v>753</v>
      </c>
      <c r="H114" s="2" t="s">
        <v>754</v>
      </c>
      <c r="I114" s="2" t="s">
        <v>58</v>
      </c>
      <c r="J114" s="2" t="s">
        <v>7</v>
      </c>
      <c r="K114" s="2">
        <v>2</v>
      </c>
      <c r="L114" s="2" t="s">
        <v>755</v>
      </c>
      <c r="M114" s="2"/>
      <c r="N114" s="3" t="str">
        <f>IFERROR(VLOOKUP(M114,Lookups!$A$2:$B$7,2,FALSE),"")</f>
        <v/>
      </c>
      <c r="O114" s="3" t="str">
        <f t="shared" si="3"/>
        <v/>
      </c>
      <c r="P114" s="2"/>
    </row>
    <row r="115" spans="1:16" ht="60" customHeight="1" x14ac:dyDescent="0.3">
      <c r="A115" s="2" t="s">
        <v>756</v>
      </c>
      <c r="B115" s="2" t="s">
        <v>28</v>
      </c>
      <c r="C115" s="2" t="s">
        <v>730</v>
      </c>
      <c r="D115" s="2" t="s">
        <v>744</v>
      </c>
      <c r="E115" s="2" t="s">
        <v>757</v>
      </c>
      <c r="F115" s="2" t="s">
        <v>758</v>
      </c>
      <c r="G115" s="2" t="s">
        <v>759</v>
      </c>
      <c r="H115" s="2" t="s">
        <v>760</v>
      </c>
      <c r="I115" s="2" t="s">
        <v>71</v>
      </c>
      <c r="J115" s="2" t="s">
        <v>5</v>
      </c>
      <c r="K115" s="2">
        <v>3</v>
      </c>
      <c r="L115" s="2" t="s">
        <v>761</v>
      </c>
      <c r="M115" s="2"/>
      <c r="N115" s="3" t="str">
        <f>IFERROR(VLOOKUP(M115,Lookups!$A$2:$B$7,2,FALSE),"")</f>
        <v/>
      </c>
      <c r="O115" s="3" t="str">
        <f t="shared" si="3"/>
        <v/>
      </c>
      <c r="P115" s="2"/>
    </row>
    <row r="116" spans="1:16" ht="60" customHeight="1" x14ac:dyDescent="0.3">
      <c r="A116" s="2" t="s">
        <v>762</v>
      </c>
      <c r="B116" s="2" t="s">
        <v>45</v>
      </c>
      <c r="C116" s="2" t="s">
        <v>730</v>
      </c>
      <c r="D116" s="2" t="s">
        <v>763</v>
      </c>
      <c r="E116" s="2" t="s">
        <v>764</v>
      </c>
      <c r="F116" s="2" t="s">
        <v>765</v>
      </c>
      <c r="G116" s="2" t="s">
        <v>766</v>
      </c>
      <c r="H116" s="2" t="s">
        <v>767</v>
      </c>
      <c r="I116" s="2" t="s">
        <v>58</v>
      </c>
      <c r="J116" s="2" t="s">
        <v>7</v>
      </c>
      <c r="K116" s="2">
        <v>2</v>
      </c>
      <c r="L116" s="2" t="s">
        <v>768</v>
      </c>
      <c r="M116" s="2"/>
      <c r="N116" s="3" t="str">
        <f>IFERROR(VLOOKUP(M116,Lookups!$A$2:$B$7,2,FALSE),"")</f>
        <v/>
      </c>
      <c r="O116" s="3" t="str">
        <f t="shared" si="3"/>
        <v/>
      </c>
      <c r="P116" s="2"/>
    </row>
    <row r="117" spans="1:16" ht="60" customHeight="1" x14ac:dyDescent="0.3">
      <c r="A117" s="2" t="s">
        <v>769</v>
      </c>
      <c r="B117" s="2" t="s">
        <v>45</v>
      </c>
      <c r="C117" s="2" t="s">
        <v>730</v>
      </c>
      <c r="D117" s="2" t="s">
        <v>763</v>
      </c>
      <c r="E117" s="2" t="s">
        <v>770</v>
      </c>
      <c r="F117" s="2" t="s">
        <v>771</v>
      </c>
      <c r="G117" s="2" t="s">
        <v>772</v>
      </c>
      <c r="H117" s="2" t="s">
        <v>773</v>
      </c>
      <c r="I117" s="2" t="s">
        <v>71</v>
      </c>
      <c r="J117" s="2" t="s">
        <v>7</v>
      </c>
      <c r="K117" s="2">
        <v>2</v>
      </c>
      <c r="L117" s="2" t="s">
        <v>774</v>
      </c>
      <c r="M117" s="2"/>
      <c r="N117" s="3" t="str">
        <f>IFERROR(VLOOKUP(M117,Lookups!$A$2:$B$7,2,FALSE),"")</f>
        <v/>
      </c>
      <c r="O117" s="3" t="str">
        <f t="shared" si="3"/>
        <v/>
      </c>
      <c r="P117" s="2"/>
    </row>
    <row r="118" spans="1:16" ht="60" customHeight="1" x14ac:dyDescent="0.3">
      <c r="A118" s="2" t="s">
        <v>775</v>
      </c>
      <c r="B118" s="2" t="s">
        <v>28</v>
      </c>
      <c r="C118" s="2" t="s">
        <v>730</v>
      </c>
      <c r="D118" s="2" t="s">
        <v>776</v>
      </c>
      <c r="E118" s="2" t="s">
        <v>777</v>
      </c>
      <c r="F118" s="2" t="s">
        <v>778</v>
      </c>
      <c r="G118" s="2" t="s">
        <v>779</v>
      </c>
      <c r="H118" s="2" t="s">
        <v>780</v>
      </c>
      <c r="I118" s="2" t="s">
        <v>42</v>
      </c>
      <c r="J118" s="2" t="s">
        <v>5</v>
      </c>
      <c r="K118" s="2">
        <v>3</v>
      </c>
      <c r="L118" s="2" t="s">
        <v>781</v>
      </c>
      <c r="M118" s="2"/>
      <c r="N118" s="3" t="str">
        <f>IFERROR(VLOOKUP(M118,Lookups!$A$2:$B$7,2,FALSE),"")</f>
        <v/>
      </c>
      <c r="O118" s="3" t="str">
        <f t="shared" si="3"/>
        <v/>
      </c>
      <c r="P118" s="2"/>
    </row>
    <row r="119" spans="1:16" ht="60" customHeight="1" x14ac:dyDescent="0.3">
      <c r="A119" s="2" t="s">
        <v>782</v>
      </c>
      <c r="B119" s="2" t="s">
        <v>45</v>
      </c>
      <c r="C119" s="2" t="s">
        <v>730</v>
      </c>
      <c r="D119" s="2" t="s">
        <v>776</v>
      </c>
      <c r="E119" s="2" t="s">
        <v>783</v>
      </c>
      <c r="F119" s="2" t="s">
        <v>784</v>
      </c>
      <c r="G119" s="2" t="s">
        <v>785</v>
      </c>
      <c r="H119" s="2" t="s">
        <v>786</v>
      </c>
      <c r="I119" s="2" t="s">
        <v>71</v>
      </c>
      <c r="J119" s="2" t="s">
        <v>7</v>
      </c>
      <c r="K119" s="2">
        <v>2</v>
      </c>
      <c r="L119" s="2" t="s">
        <v>787</v>
      </c>
      <c r="M119" s="2"/>
      <c r="N119" s="3" t="str">
        <f>IFERROR(VLOOKUP(M119,Lookups!$A$2:$B$7,2,FALSE),"")</f>
        <v/>
      </c>
      <c r="O119" s="3" t="str">
        <f t="shared" si="3"/>
        <v/>
      </c>
      <c r="P119" s="2"/>
    </row>
    <row r="120" spans="1:16" ht="60" customHeight="1" x14ac:dyDescent="0.3">
      <c r="A120" s="2" t="s">
        <v>788</v>
      </c>
      <c r="B120" s="2" t="s">
        <v>28</v>
      </c>
      <c r="C120" s="2" t="s">
        <v>789</v>
      </c>
      <c r="D120" s="2"/>
      <c r="E120" s="2" t="s">
        <v>790</v>
      </c>
      <c r="F120" s="2" t="s">
        <v>791</v>
      </c>
      <c r="G120" s="2" t="s">
        <v>792</v>
      </c>
      <c r="H120" s="2" t="s">
        <v>793</v>
      </c>
      <c r="I120" s="2" t="s">
        <v>71</v>
      </c>
      <c r="J120" s="2" t="s">
        <v>5</v>
      </c>
      <c r="K120" s="2">
        <v>3</v>
      </c>
      <c r="L120" s="2" t="s">
        <v>794</v>
      </c>
      <c r="M120" s="2"/>
      <c r="N120" s="3" t="str">
        <f>IFERROR(VLOOKUP(M120,Lookups!$A$2:$B$7,2,FALSE),"")</f>
        <v/>
      </c>
      <c r="O120" s="3" t="str">
        <f t="shared" si="3"/>
        <v/>
      </c>
      <c r="P120" s="2"/>
    </row>
    <row r="121" spans="1:16" ht="60" customHeight="1" x14ac:dyDescent="0.3">
      <c r="A121" s="2" t="s">
        <v>795</v>
      </c>
      <c r="B121" s="2" t="s">
        <v>45</v>
      </c>
      <c r="C121" s="2" t="s">
        <v>789</v>
      </c>
      <c r="D121" s="2"/>
      <c r="E121" s="2" t="s">
        <v>796</v>
      </c>
      <c r="F121" s="2" t="s">
        <v>797</v>
      </c>
      <c r="G121" s="2" t="s">
        <v>798</v>
      </c>
      <c r="H121" s="2" t="s">
        <v>799</v>
      </c>
      <c r="I121" s="2" t="s">
        <v>71</v>
      </c>
      <c r="J121" s="2" t="s">
        <v>7</v>
      </c>
      <c r="K121" s="2">
        <v>2</v>
      </c>
      <c r="L121" s="2" t="s">
        <v>800</v>
      </c>
      <c r="M121" s="2"/>
      <c r="N121" s="3" t="str">
        <f>IFERROR(VLOOKUP(M121,Lookups!$A$2:$B$7,2,FALSE),"")</f>
        <v/>
      </c>
      <c r="O121" s="3" t="str">
        <f t="shared" si="3"/>
        <v/>
      </c>
      <c r="P121" s="2"/>
    </row>
    <row r="122" spans="1:16" ht="60" customHeight="1" x14ac:dyDescent="0.3">
      <c r="A122" s="2" t="s">
        <v>801</v>
      </c>
      <c r="B122" s="2" t="s">
        <v>45</v>
      </c>
      <c r="C122" s="2" t="s">
        <v>789</v>
      </c>
      <c r="D122" s="2"/>
      <c r="E122" s="2" t="s">
        <v>802</v>
      </c>
      <c r="F122" s="2" t="s">
        <v>803</v>
      </c>
      <c r="G122" s="2" t="s">
        <v>804</v>
      </c>
      <c r="H122" s="2" t="s">
        <v>805</v>
      </c>
      <c r="I122" s="2" t="s">
        <v>71</v>
      </c>
      <c r="J122" s="2" t="s">
        <v>7</v>
      </c>
      <c r="K122" s="2">
        <v>2</v>
      </c>
      <c r="L122" s="2" t="s">
        <v>806</v>
      </c>
      <c r="M122" s="2"/>
      <c r="N122" s="3" t="str">
        <f>IFERROR(VLOOKUP(M122,Lookups!$A$2:$B$7,2,FALSE),"")</f>
        <v/>
      </c>
      <c r="O122" s="3" t="str">
        <f t="shared" si="3"/>
        <v/>
      </c>
      <c r="P122" s="2"/>
    </row>
    <row r="123" spans="1:16" ht="60" customHeight="1" x14ac:dyDescent="0.3">
      <c r="A123" s="2" t="s">
        <v>807</v>
      </c>
      <c r="B123" s="2" t="s">
        <v>45</v>
      </c>
      <c r="C123" s="2" t="s">
        <v>789</v>
      </c>
      <c r="D123" s="2"/>
      <c r="E123" s="2" t="s">
        <v>808</v>
      </c>
      <c r="F123" s="2" t="s">
        <v>809</v>
      </c>
      <c r="G123" s="2" t="s">
        <v>810</v>
      </c>
      <c r="H123" s="2" t="s">
        <v>811</v>
      </c>
      <c r="I123" s="2" t="s">
        <v>71</v>
      </c>
      <c r="J123" s="2" t="s">
        <v>9</v>
      </c>
      <c r="K123" s="2">
        <v>1</v>
      </c>
      <c r="L123" s="2" t="s">
        <v>812</v>
      </c>
      <c r="M123" s="2"/>
      <c r="N123" s="3" t="str">
        <f>IFERROR(VLOOKUP(M123,Lookups!$A$2:$B$7,2,FALSE),"")</f>
        <v/>
      </c>
      <c r="O123" s="3" t="str">
        <f t="shared" si="3"/>
        <v/>
      </c>
      <c r="P123" s="2"/>
    </row>
    <row r="124" spans="1:16" ht="60" customHeight="1" x14ac:dyDescent="0.3">
      <c r="A124" s="2" t="s">
        <v>813</v>
      </c>
      <c r="B124" s="2" t="s">
        <v>45</v>
      </c>
      <c r="C124" s="2" t="s">
        <v>789</v>
      </c>
      <c r="D124" s="2"/>
      <c r="E124" s="2" t="s">
        <v>814</v>
      </c>
      <c r="F124" s="2" t="s">
        <v>815</v>
      </c>
      <c r="G124" s="2" t="s">
        <v>816</v>
      </c>
      <c r="H124" s="2" t="s">
        <v>817</v>
      </c>
      <c r="I124" s="2" t="s">
        <v>213</v>
      </c>
      <c r="J124" s="2" t="s">
        <v>9</v>
      </c>
      <c r="K124" s="2">
        <v>1</v>
      </c>
      <c r="L124" s="2" t="s">
        <v>818</v>
      </c>
      <c r="M124" s="2"/>
      <c r="N124" s="3" t="str">
        <f>IFERROR(VLOOKUP(M124,Lookups!$A$2:$B$7,2,FALSE),"")</f>
        <v/>
      </c>
      <c r="O124" s="3" t="str">
        <f t="shared" si="3"/>
        <v/>
      </c>
      <c r="P124" s="2"/>
    </row>
    <row r="125" spans="1:16" ht="60" customHeight="1" x14ac:dyDescent="0.3">
      <c r="A125" s="2" t="s">
        <v>819</v>
      </c>
      <c r="B125" s="2" t="s">
        <v>45</v>
      </c>
      <c r="C125" s="2" t="s">
        <v>820</v>
      </c>
      <c r="D125" s="2"/>
      <c r="E125" s="2" t="s">
        <v>821</v>
      </c>
      <c r="F125" s="2" t="s">
        <v>822</v>
      </c>
      <c r="G125" s="2" t="s">
        <v>823</v>
      </c>
      <c r="H125" s="2" t="s">
        <v>824</v>
      </c>
      <c r="I125" s="2" t="s">
        <v>71</v>
      </c>
      <c r="J125" s="2" t="s">
        <v>7</v>
      </c>
      <c r="K125" s="2">
        <v>2</v>
      </c>
      <c r="L125" s="2" t="s">
        <v>825</v>
      </c>
      <c r="M125" s="2"/>
      <c r="N125" s="3" t="str">
        <f>IFERROR(VLOOKUP(M125,Lookups!$A$2:$B$7,2,FALSE),"")</f>
        <v/>
      </c>
      <c r="O125" s="3" t="str">
        <f t="shared" si="3"/>
        <v/>
      </c>
      <c r="P125" s="2"/>
    </row>
    <row r="126" spans="1:16" ht="60" customHeight="1" x14ac:dyDescent="0.3">
      <c r="A126" s="2" t="s">
        <v>826</v>
      </c>
      <c r="B126" s="2" t="s">
        <v>45</v>
      </c>
      <c r="C126" s="2" t="s">
        <v>820</v>
      </c>
      <c r="D126" s="2"/>
      <c r="E126" s="2" t="s">
        <v>827</v>
      </c>
      <c r="F126" s="2" t="s">
        <v>828</v>
      </c>
      <c r="G126" s="2" t="s">
        <v>829</v>
      </c>
      <c r="H126" s="2" t="s">
        <v>830</v>
      </c>
      <c r="I126" s="2" t="s">
        <v>71</v>
      </c>
      <c r="J126" s="2" t="s">
        <v>7</v>
      </c>
      <c r="K126" s="2">
        <v>2</v>
      </c>
      <c r="L126" s="2" t="s">
        <v>831</v>
      </c>
      <c r="M126" s="2"/>
      <c r="N126" s="3" t="str">
        <f>IFERROR(VLOOKUP(M126,Lookups!$A$2:$B$7,2,FALSE),"")</f>
        <v/>
      </c>
      <c r="O126" s="3" t="str">
        <f t="shared" si="3"/>
        <v/>
      </c>
      <c r="P126" s="2"/>
    </row>
    <row r="127" spans="1:16" ht="60" customHeight="1" x14ac:dyDescent="0.3">
      <c r="A127" s="2" t="s">
        <v>832</v>
      </c>
      <c r="B127" s="2" t="s">
        <v>45</v>
      </c>
      <c r="C127" s="2" t="s">
        <v>820</v>
      </c>
      <c r="D127" s="2"/>
      <c r="E127" s="2" t="s">
        <v>833</v>
      </c>
      <c r="F127" s="2" t="s">
        <v>834</v>
      </c>
      <c r="G127" s="2" t="s">
        <v>835</v>
      </c>
      <c r="H127" s="2" t="s">
        <v>836</v>
      </c>
      <c r="I127" s="2" t="s">
        <v>58</v>
      </c>
      <c r="J127" s="2" t="s">
        <v>7</v>
      </c>
      <c r="K127" s="2">
        <v>2</v>
      </c>
      <c r="L127" s="2" t="s">
        <v>837</v>
      </c>
      <c r="M127" s="2"/>
      <c r="N127" s="3" t="str">
        <f>IFERROR(VLOOKUP(M127,Lookups!$A$2:$B$7,2,FALSE),"")</f>
        <v/>
      </c>
      <c r="O127" s="3" t="str">
        <f t="shared" si="3"/>
        <v/>
      </c>
      <c r="P127" s="2"/>
    </row>
    <row r="128" spans="1:16" ht="60" customHeight="1" x14ac:dyDescent="0.3">
      <c r="A128" s="2" t="s">
        <v>838</v>
      </c>
      <c r="B128" s="2" t="s">
        <v>45</v>
      </c>
      <c r="C128" s="2" t="s">
        <v>820</v>
      </c>
      <c r="D128" s="2"/>
      <c r="E128" s="2" t="s">
        <v>839</v>
      </c>
      <c r="F128" s="2" t="s">
        <v>840</v>
      </c>
      <c r="G128" s="2" t="s">
        <v>841</v>
      </c>
      <c r="H128" s="2" t="s">
        <v>842</v>
      </c>
      <c r="I128" s="2" t="s">
        <v>58</v>
      </c>
      <c r="J128" s="2" t="s">
        <v>7</v>
      </c>
      <c r="K128" s="2">
        <v>2</v>
      </c>
      <c r="L128" s="2" t="s">
        <v>843</v>
      </c>
      <c r="M128" s="2"/>
      <c r="N128" s="3" t="str">
        <f>IFERROR(VLOOKUP(M128,Lookups!$A$2:$B$7,2,FALSE),"")</f>
        <v/>
      </c>
      <c r="O128" s="3" t="str">
        <f t="shared" si="3"/>
        <v/>
      </c>
      <c r="P128" s="2"/>
    </row>
    <row r="129" spans="1:16" ht="60" customHeight="1" x14ac:dyDescent="0.3">
      <c r="A129" s="2" t="s">
        <v>844</v>
      </c>
      <c r="B129" s="2" t="s">
        <v>45</v>
      </c>
      <c r="C129" s="2" t="s">
        <v>820</v>
      </c>
      <c r="D129" s="2"/>
      <c r="E129" s="2" t="s">
        <v>845</v>
      </c>
      <c r="F129" s="2" t="s">
        <v>846</v>
      </c>
      <c r="G129" s="2" t="s">
        <v>847</v>
      </c>
      <c r="H129" s="2" t="s">
        <v>848</v>
      </c>
      <c r="I129" s="2" t="s">
        <v>71</v>
      </c>
      <c r="J129" s="2" t="s">
        <v>9</v>
      </c>
      <c r="K129" s="2">
        <v>1</v>
      </c>
      <c r="L129" s="2" t="s">
        <v>849</v>
      </c>
      <c r="M129" s="2"/>
      <c r="N129" s="3" t="str">
        <f>IFERROR(VLOOKUP(M129,Lookups!$A$2:$B$7,2,FALSE),"")</f>
        <v/>
      </c>
      <c r="O129" s="3" t="str">
        <f t="shared" si="3"/>
        <v/>
      </c>
      <c r="P129" s="2"/>
    </row>
    <row r="130" spans="1:16" ht="60" customHeight="1" x14ac:dyDescent="0.3">
      <c r="A130" s="2" t="s">
        <v>850</v>
      </c>
      <c r="B130" s="2" t="s">
        <v>45</v>
      </c>
      <c r="C130" s="2" t="s">
        <v>820</v>
      </c>
      <c r="D130" s="2"/>
      <c r="E130" s="2" t="s">
        <v>851</v>
      </c>
      <c r="F130" s="2" t="s">
        <v>852</v>
      </c>
      <c r="G130" s="2" t="s">
        <v>853</v>
      </c>
      <c r="H130" s="2" t="s">
        <v>854</v>
      </c>
      <c r="I130" s="2" t="s">
        <v>42</v>
      </c>
      <c r="J130" s="2" t="s">
        <v>9</v>
      </c>
      <c r="K130" s="2">
        <v>1</v>
      </c>
      <c r="L130" s="2" t="s">
        <v>855</v>
      </c>
      <c r="M130" s="2"/>
      <c r="N130" s="3" t="str">
        <f>IFERROR(VLOOKUP(M130,Lookups!$A$2:$B$7,2,FALSE),"")</f>
        <v/>
      </c>
      <c r="O130" s="3" t="str">
        <f t="shared" ref="O130:O161" si="4">IF(N130="","",K130*N130)</f>
        <v/>
      </c>
      <c r="P130" s="2"/>
    </row>
    <row r="131" spans="1:16" ht="60" customHeight="1" x14ac:dyDescent="0.3">
      <c r="A131" s="2" t="s">
        <v>856</v>
      </c>
      <c r="B131" s="2" t="s">
        <v>28</v>
      </c>
      <c r="C131" s="2" t="s">
        <v>857</v>
      </c>
      <c r="D131" s="2" t="s">
        <v>858</v>
      </c>
      <c r="E131" s="2" t="s">
        <v>859</v>
      </c>
      <c r="F131" s="2" t="s">
        <v>860</v>
      </c>
      <c r="G131" s="2" t="s">
        <v>861</v>
      </c>
      <c r="H131" s="2" t="s">
        <v>862</v>
      </c>
      <c r="I131" s="2" t="s">
        <v>58</v>
      </c>
      <c r="J131" s="2" t="s">
        <v>5</v>
      </c>
      <c r="K131" s="2">
        <v>3</v>
      </c>
      <c r="L131" s="2" t="s">
        <v>863</v>
      </c>
      <c r="M131" s="2"/>
      <c r="N131" s="3" t="str">
        <f>IFERROR(VLOOKUP(M131,Lookups!$A$2:$B$7,2,FALSE),"")</f>
        <v/>
      </c>
      <c r="O131" s="3" t="str">
        <f t="shared" si="4"/>
        <v/>
      </c>
      <c r="P131" s="2"/>
    </row>
    <row r="132" spans="1:16" ht="60" customHeight="1" x14ac:dyDescent="0.3">
      <c r="A132" s="2" t="s">
        <v>864</v>
      </c>
      <c r="B132" s="2" t="s">
        <v>28</v>
      </c>
      <c r="C132" s="2" t="s">
        <v>857</v>
      </c>
      <c r="D132" s="2" t="s">
        <v>865</v>
      </c>
      <c r="E132" s="2" t="s">
        <v>866</v>
      </c>
      <c r="F132" s="2" t="s">
        <v>867</v>
      </c>
      <c r="G132" s="2" t="s">
        <v>868</v>
      </c>
      <c r="H132" s="2" t="s">
        <v>869</v>
      </c>
      <c r="I132" s="2" t="s">
        <v>58</v>
      </c>
      <c r="J132" s="2" t="s">
        <v>5</v>
      </c>
      <c r="K132" s="2">
        <v>3</v>
      </c>
      <c r="L132" s="2" t="s">
        <v>870</v>
      </c>
      <c r="M132" s="2"/>
      <c r="N132" s="3" t="str">
        <f>IFERROR(VLOOKUP(M132,Lookups!$A$2:$B$7,2,FALSE),"")</f>
        <v/>
      </c>
      <c r="O132" s="3" t="str">
        <f t="shared" si="4"/>
        <v/>
      </c>
      <c r="P132" s="2"/>
    </row>
    <row r="133" spans="1:16" ht="60" customHeight="1" x14ac:dyDescent="0.3">
      <c r="A133" s="2" t="s">
        <v>871</v>
      </c>
      <c r="B133" s="2" t="s">
        <v>45</v>
      </c>
      <c r="C133" s="2" t="s">
        <v>857</v>
      </c>
      <c r="D133" s="2" t="s">
        <v>872</v>
      </c>
      <c r="E133" s="2" t="s">
        <v>873</v>
      </c>
      <c r="F133" s="2" t="s">
        <v>874</v>
      </c>
      <c r="G133" s="2" t="s">
        <v>875</v>
      </c>
      <c r="H133" s="2" t="s">
        <v>876</v>
      </c>
      <c r="I133" s="2" t="s">
        <v>58</v>
      </c>
      <c r="J133" s="2" t="s">
        <v>7</v>
      </c>
      <c r="K133" s="2">
        <v>2</v>
      </c>
      <c r="L133" s="2" t="s">
        <v>877</v>
      </c>
      <c r="M133" s="2"/>
      <c r="N133" s="3" t="str">
        <f>IFERROR(VLOOKUP(M133,Lookups!$A$2:$B$7,2,FALSE),"")</f>
        <v/>
      </c>
      <c r="O133" s="3" t="str">
        <f t="shared" si="4"/>
        <v/>
      </c>
      <c r="P133" s="2"/>
    </row>
    <row r="134" spans="1:16" ht="60" customHeight="1" x14ac:dyDescent="0.3">
      <c r="A134" s="2" t="s">
        <v>878</v>
      </c>
      <c r="B134" s="2" t="s">
        <v>28</v>
      </c>
      <c r="C134" s="2" t="s">
        <v>857</v>
      </c>
      <c r="D134" s="2" t="s">
        <v>879</v>
      </c>
      <c r="E134" s="2" t="s">
        <v>880</v>
      </c>
      <c r="F134" s="2" t="s">
        <v>881</v>
      </c>
      <c r="G134" s="2" t="s">
        <v>882</v>
      </c>
      <c r="H134" s="2" t="s">
        <v>883</v>
      </c>
      <c r="I134" s="2" t="s">
        <v>58</v>
      </c>
      <c r="J134" s="2" t="s">
        <v>5</v>
      </c>
      <c r="K134" s="2">
        <v>3</v>
      </c>
      <c r="L134" s="2" t="s">
        <v>884</v>
      </c>
      <c r="M134" s="2"/>
      <c r="N134" s="3" t="str">
        <f>IFERROR(VLOOKUP(M134,Lookups!$A$2:$B$7,2,FALSE),"")</f>
        <v/>
      </c>
      <c r="O134" s="3" t="str">
        <f t="shared" si="4"/>
        <v/>
      </c>
      <c r="P134" s="2"/>
    </row>
    <row r="135" spans="1:16" ht="60" customHeight="1" x14ac:dyDescent="0.3">
      <c r="A135" s="2" t="s">
        <v>885</v>
      </c>
      <c r="B135" s="2" t="s">
        <v>28</v>
      </c>
      <c r="C135" s="2" t="s">
        <v>857</v>
      </c>
      <c r="D135" s="2" t="s">
        <v>886</v>
      </c>
      <c r="E135" s="2" t="s">
        <v>887</v>
      </c>
      <c r="F135" s="2" t="s">
        <v>888</v>
      </c>
      <c r="G135" s="2" t="s">
        <v>889</v>
      </c>
      <c r="H135" s="2" t="s">
        <v>890</v>
      </c>
      <c r="I135" s="2" t="s">
        <v>58</v>
      </c>
      <c r="J135" s="2" t="s">
        <v>5</v>
      </c>
      <c r="K135" s="2">
        <v>3</v>
      </c>
      <c r="L135" s="2" t="s">
        <v>891</v>
      </c>
      <c r="M135" s="2"/>
      <c r="N135" s="3" t="str">
        <f>IFERROR(VLOOKUP(M135,Lookups!$A$2:$B$7,2,FALSE),"")</f>
        <v/>
      </c>
      <c r="O135" s="3" t="str">
        <f t="shared" si="4"/>
        <v/>
      </c>
      <c r="P135" s="2"/>
    </row>
    <row r="136" spans="1:16" ht="60" customHeight="1" x14ac:dyDescent="0.3">
      <c r="A136" s="2" t="s">
        <v>892</v>
      </c>
      <c r="B136" s="2" t="s">
        <v>45</v>
      </c>
      <c r="C136" s="2" t="s">
        <v>857</v>
      </c>
      <c r="D136" s="2" t="s">
        <v>893</v>
      </c>
      <c r="E136" s="2" t="s">
        <v>894</v>
      </c>
      <c r="F136" s="2" t="s">
        <v>895</v>
      </c>
      <c r="G136" s="2" t="s">
        <v>896</v>
      </c>
      <c r="H136" s="2" t="s">
        <v>897</v>
      </c>
      <c r="I136" s="2" t="s">
        <v>35</v>
      </c>
      <c r="J136" s="2" t="s">
        <v>7</v>
      </c>
      <c r="K136" s="2">
        <v>2</v>
      </c>
      <c r="L136" s="2" t="s">
        <v>898</v>
      </c>
      <c r="M136" s="2"/>
      <c r="N136" s="3" t="str">
        <f>IFERROR(VLOOKUP(M136,Lookups!$A$2:$B$7,2,FALSE),"")</f>
        <v/>
      </c>
      <c r="O136" s="3" t="str">
        <f t="shared" si="4"/>
        <v/>
      </c>
      <c r="P136" s="2"/>
    </row>
    <row r="137" spans="1:16" ht="60" customHeight="1" x14ac:dyDescent="0.3">
      <c r="A137" s="2" t="s">
        <v>899</v>
      </c>
      <c r="B137" s="2" t="s">
        <v>28</v>
      </c>
      <c r="C137" s="2" t="s">
        <v>900</v>
      </c>
      <c r="D137" s="2"/>
      <c r="E137" s="2" t="s">
        <v>901</v>
      </c>
      <c r="F137" s="2" t="s">
        <v>902</v>
      </c>
      <c r="G137" s="2" t="s">
        <v>903</v>
      </c>
      <c r="H137" s="2" t="s">
        <v>904</v>
      </c>
      <c r="I137" s="2" t="s">
        <v>122</v>
      </c>
      <c r="J137" s="2" t="s">
        <v>5</v>
      </c>
      <c r="K137" s="2">
        <v>3</v>
      </c>
      <c r="L137" s="2" t="s">
        <v>905</v>
      </c>
      <c r="M137" s="2"/>
      <c r="N137" s="3" t="str">
        <f>IFERROR(VLOOKUP(M137,Lookups!$A$2:$B$7,2,FALSE),"")</f>
        <v/>
      </c>
      <c r="O137" s="3" t="str">
        <f t="shared" si="4"/>
        <v/>
      </c>
      <c r="P137" s="2"/>
    </row>
    <row r="138" spans="1:16" ht="60" customHeight="1" x14ac:dyDescent="0.3">
      <c r="A138" s="2" t="s">
        <v>906</v>
      </c>
      <c r="B138" s="2" t="s">
        <v>28</v>
      </c>
      <c r="C138" s="2" t="s">
        <v>900</v>
      </c>
      <c r="D138" s="2"/>
      <c r="E138" s="2" t="s">
        <v>907</v>
      </c>
      <c r="F138" s="2" t="s">
        <v>908</v>
      </c>
      <c r="G138" s="2" t="s">
        <v>909</v>
      </c>
      <c r="H138" s="2" t="s">
        <v>910</v>
      </c>
      <c r="I138" s="2" t="s">
        <v>58</v>
      </c>
      <c r="J138" s="2" t="s">
        <v>5</v>
      </c>
      <c r="K138" s="2">
        <v>3</v>
      </c>
      <c r="L138" s="2" t="s">
        <v>911</v>
      </c>
      <c r="M138" s="2"/>
      <c r="N138" s="3" t="str">
        <f>IFERROR(VLOOKUP(M138,Lookups!$A$2:$B$7,2,FALSE),"")</f>
        <v/>
      </c>
      <c r="O138" s="3" t="str">
        <f t="shared" si="4"/>
        <v/>
      </c>
      <c r="P138" s="2"/>
    </row>
    <row r="139" spans="1:16" ht="60" customHeight="1" x14ac:dyDescent="0.3">
      <c r="A139" s="2" t="s">
        <v>912</v>
      </c>
      <c r="B139" s="2" t="s">
        <v>45</v>
      </c>
      <c r="C139" s="2" t="s">
        <v>900</v>
      </c>
      <c r="D139" s="2"/>
      <c r="E139" s="2" t="s">
        <v>913</v>
      </c>
      <c r="F139" s="2" t="s">
        <v>914</v>
      </c>
      <c r="G139" s="2" t="s">
        <v>915</v>
      </c>
      <c r="H139" s="2" t="s">
        <v>916</v>
      </c>
      <c r="I139" s="2" t="s">
        <v>71</v>
      </c>
      <c r="J139" s="2" t="s">
        <v>7</v>
      </c>
      <c r="K139" s="2">
        <v>2</v>
      </c>
      <c r="L139" s="2" t="s">
        <v>917</v>
      </c>
      <c r="M139" s="2"/>
      <c r="N139" s="3" t="str">
        <f>IFERROR(VLOOKUP(M139,Lookups!$A$2:$B$7,2,FALSE),"")</f>
        <v/>
      </c>
      <c r="O139" s="3" t="str">
        <f t="shared" si="4"/>
        <v/>
      </c>
      <c r="P139" s="2"/>
    </row>
    <row r="140" spans="1:16" ht="60" customHeight="1" x14ac:dyDescent="0.3">
      <c r="A140" s="2" t="s">
        <v>918</v>
      </c>
      <c r="B140" s="2" t="s">
        <v>45</v>
      </c>
      <c r="C140" s="2" t="s">
        <v>900</v>
      </c>
      <c r="D140" s="2"/>
      <c r="E140" s="2" t="s">
        <v>919</v>
      </c>
      <c r="F140" s="2" t="s">
        <v>920</v>
      </c>
      <c r="G140" s="2" t="s">
        <v>921</v>
      </c>
      <c r="H140" s="2" t="s">
        <v>922</v>
      </c>
      <c r="I140" s="2" t="s">
        <v>35</v>
      </c>
      <c r="J140" s="2" t="s">
        <v>7</v>
      </c>
      <c r="K140" s="2">
        <v>2</v>
      </c>
      <c r="L140" s="2" t="s">
        <v>923</v>
      </c>
      <c r="M140" s="2"/>
      <c r="N140" s="3" t="str">
        <f>IFERROR(VLOOKUP(M140,Lookups!$A$2:$B$7,2,FALSE),"")</f>
        <v/>
      </c>
      <c r="O140" s="3" t="str">
        <f t="shared" si="4"/>
        <v/>
      </c>
      <c r="P140" s="2"/>
    </row>
    <row r="141" spans="1:16" ht="60" customHeight="1" x14ac:dyDescent="0.3">
      <c r="A141" s="2" t="s">
        <v>924</v>
      </c>
      <c r="B141" s="2" t="s">
        <v>45</v>
      </c>
      <c r="C141" s="2" t="s">
        <v>925</v>
      </c>
      <c r="D141" s="2"/>
      <c r="E141" s="2" t="s">
        <v>926</v>
      </c>
      <c r="F141" s="2" t="s">
        <v>927</v>
      </c>
      <c r="G141" s="2" t="s">
        <v>928</v>
      </c>
      <c r="H141" s="2" t="s">
        <v>929</v>
      </c>
      <c r="I141" s="2" t="s">
        <v>71</v>
      </c>
      <c r="J141" s="2" t="s">
        <v>7</v>
      </c>
      <c r="K141" s="2">
        <v>2</v>
      </c>
      <c r="L141" s="2" t="s">
        <v>930</v>
      </c>
      <c r="M141" s="2"/>
      <c r="N141" s="3" t="str">
        <f>IFERROR(VLOOKUP(M141,Lookups!$A$2:$B$7,2,FALSE),"")</f>
        <v/>
      </c>
      <c r="O141" s="3" t="str">
        <f t="shared" si="4"/>
        <v/>
      </c>
      <c r="P141" s="2"/>
    </row>
    <row r="142" spans="1:16" ht="60" customHeight="1" x14ac:dyDescent="0.3">
      <c r="A142" s="2" t="s">
        <v>931</v>
      </c>
      <c r="B142" s="2" t="s">
        <v>45</v>
      </c>
      <c r="C142" s="2" t="s">
        <v>925</v>
      </c>
      <c r="D142" s="2"/>
      <c r="E142" s="2" t="s">
        <v>932</v>
      </c>
      <c r="F142" s="2" t="s">
        <v>933</v>
      </c>
      <c r="G142" s="2" t="s">
        <v>934</v>
      </c>
      <c r="H142" s="2" t="s">
        <v>935</v>
      </c>
      <c r="I142" s="2" t="s">
        <v>71</v>
      </c>
      <c r="J142" s="2" t="s">
        <v>7</v>
      </c>
      <c r="K142" s="2">
        <v>2</v>
      </c>
      <c r="L142" s="2" t="s">
        <v>936</v>
      </c>
      <c r="M142" s="2"/>
      <c r="N142" s="3" t="str">
        <f>IFERROR(VLOOKUP(M142,Lookups!$A$2:$B$7,2,FALSE),"")</f>
        <v/>
      </c>
      <c r="O142" s="3" t="str">
        <f t="shared" si="4"/>
        <v/>
      </c>
      <c r="P142" s="2"/>
    </row>
    <row r="143" spans="1:16" ht="60" customHeight="1" x14ac:dyDescent="0.3">
      <c r="A143" s="2" t="s">
        <v>937</v>
      </c>
      <c r="B143" s="2" t="s">
        <v>45</v>
      </c>
      <c r="C143" s="2" t="s">
        <v>925</v>
      </c>
      <c r="D143" s="2"/>
      <c r="E143" s="2" t="s">
        <v>938</v>
      </c>
      <c r="F143" s="2" t="s">
        <v>939</v>
      </c>
      <c r="G143" s="2" t="s">
        <v>940</v>
      </c>
      <c r="H143" s="2" t="s">
        <v>941</v>
      </c>
      <c r="I143" s="2" t="s">
        <v>71</v>
      </c>
      <c r="J143" s="2" t="s">
        <v>7</v>
      </c>
      <c r="K143" s="2">
        <v>2</v>
      </c>
      <c r="L143" s="2" t="s">
        <v>942</v>
      </c>
      <c r="M143" s="2"/>
      <c r="N143" s="3" t="str">
        <f>IFERROR(VLOOKUP(M143,Lookups!$A$2:$B$7,2,FALSE),"")</f>
        <v/>
      </c>
      <c r="O143" s="3" t="str">
        <f t="shared" si="4"/>
        <v/>
      </c>
      <c r="P143" s="2"/>
    </row>
    <row r="144" spans="1:16" ht="60" customHeight="1" x14ac:dyDescent="0.3">
      <c r="A144" s="2" t="s">
        <v>943</v>
      </c>
      <c r="B144" s="2" t="s">
        <v>45</v>
      </c>
      <c r="C144" s="2" t="s">
        <v>925</v>
      </c>
      <c r="D144" s="2"/>
      <c r="E144" s="2" t="s">
        <v>944</v>
      </c>
      <c r="F144" s="2" t="s">
        <v>945</v>
      </c>
      <c r="G144" s="2" t="s">
        <v>946</v>
      </c>
      <c r="H144" s="2" t="s">
        <v>947</v>
      </c>
      <c r="I144" s="2" t="s">
        <v>58</v>
      </c>
      <c r="J144" s="2" t="s">
        <v>7</v>
      </c>
      <c r="K144" s="2">
        <v>2</v>
      </c>
      <c r="L144" s="2" t="s">
        <v>948</v>
      </c>
      <c r="M144" s="2"/>
      <c r="N144" s="3" t="str">
        <f>IFERROR(VLOOKUP(M144,Lookups!$A$2:$B$7,2,FALSE),"")</f>
        <v/>
      </c>
      <c r="O144" s="3" t="str">
        <f t="shared" si="4"/>
        <v/>
      </c>
      <c r="P144" s="2"/>
    </row>
    <row r="145" spans="1:16" ht="60" customHeight="1" x14ac:dyDescent="0.3">
      <c r="A145" s="2" t="s">
        <v>949</v>
      </c>
      <c r="B145" s="2" t="s">
        <v>45</v>
      </c>
      <c r="C145" s="2" t="s">
        <v>925</v>
      </c>
      <c r="D145" s="2"/>
      <c r="E145" s="2" t="s">
        <v>950</v>
      </c>
      <c r="F145" s="2" t="s">
        <v>951</v>
      </c>
      <c r="G145" s="2" t="s">
        <v>952</v>
      </c>
      <c r="H145" s="2" t="s">
        <v>953</v>
      </c>
      <c r="I145" s="2" t="s">
        <v>71</v>
      </c>
      <c r="J145" s="2" t="s">
        <v>9</v>
      </c>
      <c r="K145" s="2">
        <v>1</v>
      </c>
      <c r="L145" s="2" t="s">
        <v>954</v>
      </c>
      <c r="M145" s="2"/>
      <c r="N145" s="3" t="str">
        <f>IFERROR(VLOOKUP(M145,Lookups!$A$2:$B$7,2,FALSE),"")</f>
        <v/>
      </c>
      <c r="O145" s="3" t="str">
        <f t="shared" si="4"/>
        <v/>
      </c>
      <c r="P145" s="2"/>
    </row>
    <row r="146" spans="1:16" ht="60" customHeight="1" x14ac:dyDescent="0.3">
      <c r="A146" s="2" t="s">
        <v>955</v>
      </c>
      <c r="B146" s="2" t="s">
        <v>45</v>
      </c>
      <c r="C146" s="2" t="s">
        <v>925</v>
      </c>
      <c r="D146" s="2"/>
      <c r="E146" s="2" t="s">
        <v>956</v>
      </c>
      <c r="F146" s="2" t="s">
        <v>957</v>
      </c>
      <c r="G146" s="2" t="s">
        <v>958</v>
      </c>
      <c r="H146" s="2" t="s">
        <v>959</v>
      </c>
      <c r="I146" s="2" t="s">
        <v>71</v>
      </c>
      <c r="J146" s="2" t="s">
        <v>9</v>
      </c>
      <c r="K146" s="2">
        <v>1</v>
      </c>
      <c r="L146" s="2" t="s">
        <v>960</v>
      </c>
      <c r="M146" s="2"/>
      <c r="N146" s="3" t="str">
        <f>IFERROR(VLOOKUP(M146,Lookups!$A$2:$B$7,2,FALSE),"")</f>
        <v/>
      </c>
      <c r="O146" s="3" t="str">
        <f t="shared" si="4"/>
        <v/>
      </c>
      <c r="P146" s="2"/>
    </row>
    <row r="147" spans="1:16" ht="60" customHeight="1" x14ac:dyDescent="0.3">
      <c r="A147" s="2" t="s">
        <v>961</v>
      </c>
      <c r="B147" s="2" t="s">
        <v>45</v>
      </c>
      <c r="C147" s="2" t="s">
        <v>925</v>
      </c>
      <c r="D147" s="2"/>
      <c r="E147" s="2" t="s">
        <v>962</v>
      </c>
      <c r="F147" s="2" t="s">
        <v>963</v>
      </c>
      <c r="G147" s="2" t="s">
        <v>964</v>
      </c>
      <c r="H147" s="2" t="s">
        <v>965</v>
      </c>
      <c r="I147" s="2" t="s">
        <v>58</v>
      </c>
      <c r="J147" s="2" t="s">
        <v>7</v>
      </c>
      <c r="K147" s="2">
        <v>2</v>
      </c>
      <c r="L147" s="2" t="s">
        <v>966</v>
      </c>
      <c r="M147" s="2"/>
      <c r="N147" s="3" t="str">
        <f>IFERROR(VLOOKUP(M147,Lookups!$A$2:$B$7,2,FALSE),"")</f>
        <v/>
      </c>
      <c r="O147" s="3" t="str">
        <f t="shared" si="4"/>
        <v/>
      </c>
      <c r="P147" s="2"/>
    </row>
    <row r="148" spans="1:16" ht="60" customHeight="1" x14ac:dyDescent="0.3">
      <c r="A148" s="2" t="s">
        <v>967</v>
      </c>
      <c r="B148" s="2" t="s">
        <v>28</v>
      </c>
      <c r="C148" s="2" t="s">
        <v>968</v>
      </c>
      <c r="D148" s="2"/>
      <c r="E148" s="2" t="s">
        <v>969</v>
      </c>
      <c r="F148" s="2" t="s">
        <v>970</v>
      </c>
      <c r="G148" s="2" t="s">
        <v>971</v>
      </c>
      <c r="H148" s="2" t="s">
        <v>972</v>
      </c>
      <c r="I148" s="2" t="s">
        <v>299</v>
      </c>
      <c r="J148" s="2" t="s">
        <v>5</v>
      </c>
      <c r="K148" s="2">
        <v>3</v>
      </c>
      <c r="L148" s="2" t="s">
        <v>973</v>
      </c>
      <c r="M148" s="2"/>
      <c r="N148" s="3" t="str">
        <f>IFERROR(VLOOKUP(M148,Lookups!$A$2:$B$7,2,FALSE),"")</f>
        <v/>
      </c>
      <c r="O148" s="3" t="str">
        <f t="shared" si="4"/>
        <v/>
      </c>
      <c r="P148" s="2"/>
    </row>
    <row r="149" spans="1:16" ht="60" customHeight="1" x14ac:dyDescent="0.3">
      <c r="A149" s="2" t="s">
        <v>974</v>
      </c>
      <c r="B149" s="2" t="s">
        <v>45</v>
      </c>
      <c r="C149" s="2" t="s">
        <v>968</v>
      </c>
      <c r="D149" s="2"/>
      <c r="E149" s="2" t="s">
        <v>975</v>
      </c>
      <c r="F149" s="2" t="s">
        <v>976</v>
      </c>
      <c r="G149" s="2" t="s">
        <v>977</v>
      </c>
      <c r="H149" s="2" t="s">
        <v>978</v>
      </c>
      <c r="I149" s="2" t="s">
        <v>58</v>
      </c>
      <c r="J149" s="2" t="s">
        <v>7</v>
      </c>
      <c r="K149" s="2">
        <v>2</v>
      </c>
      <c r="L149" s="2" t="s">
        <v>979</v>
      </c>
      <c r="M149" s="2"/>
      <c r="N149" s="3" t="str">
        <f>IFERROR(VLOOKUP(M149,Lookups!$A$2:$B$7,2,FALSE),"")</f>
        <v/>
      </c>
      <c r="O149" s="3" t="str">
        <f t="shared" si="4"/>
        <v/>
      </c>
      <c r="P149" s="2"/>
    </row>
    <row r="150" spans="1:16" ht="60" customHeight="1" x14ac:dyDescent="0.3">
      <c r="A150" s="2" t="s">
        <v>980</v>
      </c>
      <c r="B150" s="2" t="s">
        <v>45</v>
      </c>
      <c r="C150" s="2" t="s">
        <v>968</v>
      </c>
      <c r="D150" s="2"/>
      <c r="E150" s="2" t="s">
        <v>981</v>
      </c>
      <c r="F150" s="2" t="s">
        <v>982</v>
      </c>
      <c r="G150" s="2" t="s">
        <v>983</v>
      </c>
      <c r="H150" s="2" t="s">
        <v>984</v>
      </c>
      <c r="I150" s="2" t="s">
        <v>58</v>
      </c>
      <c r="J150" s="2" t="s">
        <v>7</v>
      </c>
      <c r="K150" s="2">
        <v>2</v>
      </c>
      <c r="L150" s="2" t="s">
        <v>985</v>
      </c>
      <c r="M150" s="2"/>
      <c r="N150" s="3" t="str">
        <f>IFERROR(VLOOKUP(M150,Lookups!$A$2:$B$7,2,FALSE),"")</f>
        <v/>
      </c>
      <c r="O150" s="3" t="str">
        <f t="shared" si="4"/>
        <v/>
      </c>
      <c r="P150" s="2"/>
    </row>
    <row r="151" spans="1:16" ht="60" customHeight="1" x14ac:dyDescent="0.3">
      <c r="A151" s="2" t="s">
        <v>986</v>
      </c>
      <c r="B151" s="2" t="s">
        <v>45</v>
      </c>
      <c r="C151" s="2" t="s">
        <v>968</v>
      </c>
      <c r="D151" s="2"/>
      <c r="E151" s="2" t="s">
        <v>987</v>
      </c>
      <c r="F151" s="2" t="s">
        <v>988</v>
      </c>
      <c r="G151" s="2" t="s">
        <v>989</v>
      </c>
      <c r="H151" s="2" t="s">
        <v>990</v>
      </c>
      <c r="I151" s="2" t="s">
        <v>58</v>
      </c>
      <c r="J151" s="2" t="s">
        <v>7</v>
      </c>
      <c r="K151" s="2">
        <v>2</v>
      </c>
      <c r="L151" s="2" t="s">
        <v>991</v>
      </c>
      <c r="M151" s="2"/>
      <c r="N151" s="3" t="str">
        <f>IFERROR(VLOOKUP(M151,Lookups!$A$2:$B$7,2,FALSE),"")</f>
        <v/>
      </c>
      <c r="O151" s="3" t="str">
        <f t="shared" si="4"/>
        <v/>
      </c>
      <c r="P151" s="2"/>
    </row>
    <row r="152" spans="1:16" ht="60" customHeight="1" x14ac:dyDescent="0.3">
      <c r="A152" s="2" t="s">
        <v>992</v>
      </c>
      <c r="B152" s="2" t="s">
        <v>45</v>
      </c>
      <c r="C152" s="2" t="s">
        <v>968</v>
      </c>
      <c r="D152" s="2"/>
      <c r="E152" s="2" t="s">
        <v>993</v>
      </c>
      <c r="F152" s="2" t="s">
        <v>994</v>
      </c>
      <c r="G152" s="2" t="s">
        <v>995</v>
      </c>
      <c r="H152" s="2" t="s">
        <v>996</v>
      </c>
      <c r="I152" s="2" t="s">
        <v>58</v>
      </c>
      <c r="J152" s="2" t="s">
        <v>7</v>
      </c>
      <c r="K152" s="2">
        <v>2</v>
      </c>
      <c r="L152" s="2" t="s">
        <v>997</v>
      </c>
      <c r="M152" s="2"/>
      <c r="N152" s="3" t="str">
        <f>IFERROR(VLOOKUP(M152,Lookups!$A$2:$B$7,2,FALSE),"")</f>
        <v/>
      </c>
      <c r="O152" s="3" t="str">
        <f t="shared" si="4"/>
        <v/>
      </c>
      <c r="P152" s="2"/>
    </row>
    <row r="153" spans="1:16" ht="60" customHeight="1" x14ac:dyDescent="0.3">
      <c r="A153" s="2" t="s">
        <v>998</v>
      </c>
      <c r="B153" s="2" t="s">
        <v>28</v>
      </c>
      <c r="C153" s="2" t="s">
        <v>968</v>
      </c>
      <c r="D153" s="2"/>
      <c r="E153" s="2" t="s">
        <v>999</v>
      </c>
      <c r="F153" s="2" t="s">
        <v>1000</v>
      </c>
      <c r="G153" s="2" t="s">
        <v>1001</v>
      </c>
      <c r="H153" s="2" t="s">
        <v>1002</v>
      </c>
      <c r="I153" s="2" t="s">
        <v>42</v>
      </c>
      <c r="J153" s="2" t="s">
        <v>5</v>
      </c>
      <c r="K153" s="2">
        <v>3</v>
      </c>
      <c r="L153" s="2" t="s">
        <v>1003</v>
      </c>
      <c r="M153" s="2"/>
      <c r="N153" s="3" t="str">
        <f>IFERROR(VLOOKUP(M153,Lookups!$A$2:$B$7,2,FALSE),"")</f>
        <v/>
      </c>
      <c r="O153" s="3" t="str">
        <f t="shared" si="4"/>
        <v/>
      </c>
      <c r="P153" s="2"/>
    </row>
    <row r="154" spans="1:16" ht="60" customHeight="1" x14ac:dyDescent="0.3">
      <c r="A154" s="2" t="s">
        <v>1004</v>
      </c>
      <c r="B154" s="2" t="s">
        <v>28</v>
      </c>
      <c r="C154" s="2" t="s">
        <v>1005</v>
      </c>
      <c r="D154" s="2"/>
      <c r="E154" s="2" t="s">
        <v>1006</v>
      </c>
      <c r="F154" s="2" t="s">
        <v>1007</v>
      </c>
      <c r="G154" s="2" t="s">
        <v>1008</v>
      </c>
      <c r="H154" s="2" t="s">
        <v>1009</v>
      </c>
      <c r="I154" s="2" t="s">
        <v>58</v>
      </c>
      <c r="J154" s="2" t="s">
        <v>5</v>
      </c>
      <c r="K154" s="2">
        <v>3</v>
      </c>
      <c r="L154" s="2" t="s">
        <v>1010</v>
      </c>
      <c r="M154" s="2"/>
      <c r="N154" s="3" t="str">
        <f>IFERROR(VLOOKUP(M154,Lookups!$A$2:$B$7,2,FALSE),"")</f>
        <v/>
      </c>
      <c r="O154" s="3" t="str">
        <f t="shared" si="4"/>
        <v/>
      </c>
      <c r="P154" s="2"/>
    </row>
    <row r="155" spans="1:16" ht="60" customHeight="1" x14ac:dyDescent="0.3">
      <c r="A155" s="2" t="s">
        <v>1011</v>
      </c>
      <c r="B155" s="2" t="s">
        <v>45</v>
      </c>
      <c r="C155" s="2" t="s">
        <v>1005</v>
      </c>
      <c r="D155" s="2"/>
      <c r="E155" s="2" t="s">
        <v>1012</v>
      </c>
      <c r="F155" s="2" t="s">
        <v>1013</v>
      </c>
      <c r="G155" s="2" t="s">
        <v>1014</v>
      </c>
      <c r="H155" s="2" t="s">
        <v>1015</v>
      </c>
      <c r="I155" s="2" t="s">
        <v>42</v>
      </c>
      <c r="J155" s="2" t="s">
        <v>7</v>
      </c>
      <c r="K155" s="2">
        <v>2</v>
      </c>
      <c r="L155" s="2" t="s">
        <v>1016</v>
      </c>
      <c r="M155" s="2"/>
      <c r="N155" s="3" t="str">
        <f>IFERROR(VLOOKUP(M155,Lookups!$A$2:$B$7,2,FALSE),"")</f>
        <v/>
      </c>
      <c r="O155" s="3" t="str">
        <f t="shared" si="4"/>
        <v/>
      </c>
      <c r="P155" s="2"/>
    </row>
    <row r="156" spans="1:16" ht="60" customHeight="1" x14ac:dyDescent="0.3">
      <c r="A156" s="2" t="s">
        <v>1017</v>
      </c>
      <c r="B156" s="2" t="s">
        <v>45</v>
      </c>
      <c r="C156" s="2" t="s">
        <v>1005</v>
      </c>
      <c r="D156" s="2"/>
      <c r="E156" s="2" t="s">
        <v>1018</v>
      </c>
      <c r="F156" s="2" t="s">
        <v>1019</v>
      </c>
      <c r="G156" s="2" t="s">
        <v>1020</v>
      </c>
      <c r="H156" s="2" t="s">
        <v>1021</v>
      </c>
      <c r="I156" s="2" t="s">
        <v>71</v>
      </c>
      <c r="J156" s="2" t="s">
        <v>7</v>
      </c>
      <c r="K156" s="2">
        <v>2</v>
      </c>
      <c r="L156" s="2" t="s">
        <v>1022</v>
      </c>
      <c r="M156" s="2"/>
      <c r="N156" s="3" t="str">
        <f>IFERROR(VLOOKUP(M156,Lookups!$A$2:$B$7,2,FALSE),"")</f>
        <v/>
      </c>
      <c r="O156" s="3" t="str">
        <f t="shared" si="4"/>
        <v/>
      </c>
      <c r="P156" s="2"/>
    </row>
    <row r="157" spans="1:16" ht="60" customHeight="1" x14ac:dyDescent="0.3">
      <c r="A157" s="2" t="s">
        <v>1023</v>
      </c>
      <c r="B157" s="2" t="s">
        <v>45</v>
      </c>
      <c r="C157" s="2" t="s">
        <v>1005</v>
      </c>
      <c r="D157" s="2"/>
      <c r="E157" s="2" t="s">
        <v>1024</v>
      </c>
      <c r="F157" s="2" t="s">
        <v>1025</v>
      </c>
      <c r="G157" s="2" t="s">
        <v>1026</v>
      </c>
      <c r="H157" s="2" t="s">
        <v>1027</v>
      </c>
      <c r="I157" s="2" t="s">
        <v>42</v>
      </c>
      <c r="J157" s="2" t="s">
        <v>7</v>
      </c>
      <c r="K157" s="2">
        <v>2</v>
      </c>
      <c r="L157" s="2" t="s">
        <v>1028</v>
      </c>
      <c r="M157" s="2"/>
      <c r="N157" s="3" t="str">
        <f>IFERROR(VLOOKUP(M157,Lookups!$A$2:$B$7,2,FALSE),"")</f>
        <v/>
      </c>
      <c r="O157" s="3" t="str">
        <f t="shared" si="4"/>
        <v/>
      </c>
      <c r="P157" s="2"/>
    </row>
    <row r="158" spans="1:16" ht="60" customHeight="1" x14ac:dyDescent="0.3">
      <c r="A158" s="2" t="s">
        <v>1029</v>
      </c>
      <c r="B158" s="2" t="s">
        <v>45</v>
      </c>
      <c r="C158" s="2" t="s">
        <v>1005</v>
      </c>
      <c r="D158" s="2"/>
      <c r="E158" s="2" t="s">
        <v>1030</v>
      </c>
      <c r="F158" s="2" t="s">
        <v>1031</v>
      </c>
      <c r="G158" s="2" t="s">
        <v>1032</v>
      </c>
      <c r="H158" s="2" t="s">
        <v>1033</v>
      </c>
      <c r="I158" s="2" t="s">
        <v>71</v>
      </c>
      <c r="J158" s="2" t="s">
        <v>7</v>
      </c>
      <c r="K158" s="2">
        <v>2</v>
      </c>
      <c r="L158" s="2" t="s">
        <v>1034</v>
      </c>
      <c r="M158" s="2"/>
      <c r="N158" s="3" t="str">
        <f>IFERROR(VLOOKUP(M158,Lookups!$A$2:$B$7,2,FALSE),"")</f>
        <v/>
      </c>
      <c r="O158" s="3" t="str">
        <f t="shared" si="4"/>
        <v/>
      </c>
      <c r="P158" s="2"/>
    </row>
  </sheetData>
  <autoFilter ref="A1:P158" xr:uid="{00000000-0009-0000-0000-000001000000}"/>
  <conditionalFormatting sqref="N2:N158">
    <cfRule type="colorScale" priority="1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" error="Select a value from the list." promptTitle="Vendor Support Level" prompt="Select the vendor's support level for this test case." xr:uid="{00000000-0002-0000-0100-000000000000}">
          <x14:formula1>
            <xm:f>Lookups!$A$2:$A$7</xm:f>
          </x14:formula1>
          <xm:sqref>M2:M158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4" width="32" customWidth="1"/>
    <col min="5" max="5" width="30" customWidth="1"/>
    <col min="6" max="6" width="45" customWidth="1"/>
    <col min="7" max="7" width="35" customWidth="1"/>
    <col min="8" max="8" width="28" customWidth="1"/>
    <col min="9" max="9" width="14" customWidth="1"/>
    <col min="10" max="10" width="10" customWidth="1"/>
    <col min="11" max="11" width="8" customWidth="1"/>
    <col min="12" max="12" width="18" customWidth="1"/>
    <col min="13" max="13" width="22" customWidth="1"/>
    <col min="14" max="14" width="8" customWidth="1"/>
    <col min="15" max="15" width="14" customWidth="1"/>
    <col min="16" max="16" width="26" customWidth="1"/>
  </cols>
  <sheetData>
    <row r="1" spans="1:16" ht="30" customHeigh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</v>
      </c>
      <c r="K1" s="1" t="s">
        <v>22</v>
      </c>
      <c r="L1" s="1" t="s">
        <v>23</v>
      </c>
      <c r="M1" s="1" t="s">
        <v>24</v>
      </c>
      <c r="N1" s="1" t="s">
        <v>1</v>
      </c>
      <c r="O1" s="1" t="s">
        <v>25</v>
      </c>
      <c r="P1" s="1" t="s">
        <v>26</v>
      </c>
    </row>
    <row r="2" spans="1:16" ht="60" customHeight="1" x14ac:dyDescent="0.3">
      <c r="A2" s="2" t="s">
        <v>1035</v>
      </c>
      <c r="B2" s="2" t="s">
        <v>28</v>
      </c>
      <c r="C2" s="2" t="s">
        <v>1036</v>
      </c>
      <c r="D2" s="2"/>
      <c r="E2" s="2" t="s">
        <v>1037</v>
      </c>
      <c r="F2" s="2" t="s">
        <v>1038</v>
      </c>
      <c r="G2" s="2" t="s">
        <v>1039</v>
      </c>
      <c r="H2" s="2" t="s">
        <v>1040</v>
      </c>
      <c r="I2" s="2" t="s">
        <v>299</v>
      </c>
      <c r="J2" s="2" t="s">
        <v>5</v>
      </c>
      <c r="K2" s="2">
        <v>3</v>
      </c>
      <c r="L2" s="2" t="s">
        <v>1041</v>
      </c>
      <c r="M2" s="2"/>
      <c r="N2" s="3" t="str">
        <f>IFERROR(VLOOKUP(M2,Lookups!$A$2:$B$7,2,FALSE),"")</f>
        <v/>
      </c>
      <c r="O2" s="3" t="str">
        <f t="shared" ref="O2:O49" si="0">IF(N2="","",K2*N2)</f>
        <v/>
      </c>
      <c r="P2" s="2"/>
    </row>
    <row r="3" spans="1:16" ht="60" customHeight="1" x14ac:dyDescent="0.3">
      <c r="A3" s="2" t="s">
        <v>1042</v>
      </c>
      <c r="B3" s="2" t="s">
        <v>45</v>
      </c>
      <c r="C3" s="2" t="s">
        <v>1036</v>
      </c>
      <c r="D3" s="2"/>
      <c r="E3" s="2" t="s">
        <v>1043</v>
      </c>
      <c r="F3" s="2" t="s">
        <v>1044</v>
      </c>
      <c r="G3" s="2" t="s">
        <v>1045</v>
      </c>
      <c r="H3" s="2" t="s">
        <v>1046</v>
      </c>
      <c r="I3" s="2" t="s">
        <v>299</v>
      </c>
      <c r="J3" s="2" t="s">
        <v>7</v>
      </c>
      <c r="K3" s="2">
        <v>2</v>
      </c>
      <c r="L3" s="2" t="s">
        <v>1047</v>
      </c>
      <c r="M3" s="2"/>
      <c r="N3" s="3" t="str">
        <f>IFERROR(VLOOKUP(M3,Lookups!$A$2:$B$7,2,FALSE),"")</f>
        <v/>
      </c>
      <c r="O3" s="3" t="str">
        <f t="shared" si="0"/>
        <v/>
      </c>
      <c r="P3" s="2"/>
    </row>
    <row r="4" spans="1:16" ht="60" customHeight="1" x14ac:dyDescent="0.3">
      <c r="A4" s="2" t="s">
        <v>1048</v>
      </c>
      <c r="B4" s="2" t="s">
        <v>28</v>
      </c>
      <c r="C4" s="2" t="s">
        <v>1036</v>
      </c>
      <c r="D4" s="2"/>
      <c r="E4" s="2" t="s">
        <v>1049</v>
      </c>
      <c r="F4" s="2" t="s">
        <v>1050</v>
      </c>
      <c r="G4" s="2" t="s">
        <v>1051</v>
      </c>
      <c r="H4" s="2" t="s">
        <v>1052</v>
      </c>
      <c r="I4" s="2" t="s">
        <v>1053</v>
      </c>
      <c r="J4" s="2" t="s">
        <v>5</v>
      </c>
      <c r="K4" s="2">
        <v>3</v>
      </c>
      <c r="L4" s="2" t="s">
        <v>1054</v>
      </c>
      <c r="M4" s="2"/>
      <c r="N4" s="3" t="str">
        <f>IFERROR(VLOOKUP(M4,Lookups!$A$2:$B$7,2,FALSE),"")</f>
        <v/>
      </c>
      <c r="O4" s="3" t="str">
        <f t="shared" si="0"/>
        <v/>
      </c>
      <c r="P4" s="2"/>
    </row>
    <row r="5" spans="1:16" ht="60" customHeight="1" x14ac:dyDescent="0.3">
      <c r="A5" s="2" t="s">
        <v>1055</v>
      </c>
      <c r="B5" s="2" t="s">
        <v>28</v>
      </c>
      <c r="C5" s="2" t="s">
        <v>1056</v>
      </c>
      <c r="D5" s="2"/>
      <c r="E5" s="2" t="s">
        <v>1057</v>
      </c>
      <c r="F5" s="2" t="s">
        <v>1058</v>
      </c>
      <c r="G5" s="2" t="s">
        <v>1059</v>
      </c>
      <c r="H5" s="2" t="s">
        <v>1060</v>
      </c>
      <c r="I5" s="2" t="s">
        <v>35</v>
      </c>
      <c r="J5" s="2" t="s">
        <v>5</v>
      </c>
      <c r="K5" s="2">
        <v>3</v>
      </c>
      <c r="L5" s="2" t="s">
        <v>1061</v>
      </c>
      <c r="M5" s="2"/>
      <c r="N5" s="3" t="str">
        <f>IFERROR(VLOOKUP(M5,Lookups!$A$2:$B$7,2,FALSE),"")</f>
        <v/>
      </c>
      <c r="O5" s="3" t="str">
        <f t="shared" si="0"/>
        <v/>
      </c>
      <c r="P5" s="2"/>
    </row>
    <row r="6" spans="1:16" ht="60" customHeight="1" x14ac:dyDescent="0.3">
      <c r="A6" s="2" t="s">
        <v>1062</v>
      </c>
      <c r="B6" s="2" t="s">
        <v>28</v>
      </c>
      <c r="C6" s="2" t="s">
        <v>1056</v>
      </c>
      <c r="D6" s="2"/>
      <c r="E6" s="2" t="s">
        <v>1063</v>
      </c>
      <c r="F6" s="2" t="s">
        <v>1064</v>
      </c>
      <c r="G6" s="2" t="s">
        <v>1065</v>
      </c>
      <c r="H6" s="2" t="s">
        <v>1066</v>
      </c>
      <c r="I6" s="2" t="s">
        <v>35</v>
      </c>
      <c r="J6" s="2" t="s">
        <v>5</v>
      </c>
      <c r="K6" s="2">
        <v>3</v>
      </c>
      <c r="L6" s="2" t="s">
        <v>1067</v>
      </c>
      <c r="M6" s="2"/>
      <c r="N6" s="3" t="str">
        <f>IFERROR(VLOOKUP(M6,Lookups!$A$2:$B$7,2,FALSE),"")</f>
        <v/>
      </c>
      <c r="O6" s="3" t="str">
        <f t="shared" si="0"/>
        <v/>
      </c>
      <c r="P6" s="2"/>
    </row>
    <row r="7" spans="1:16" ht="60" customHeight="1" x14ac:dyDescent="0.3">
      <c r="A7" s="2" t="s">
        <v>1068</v>
      </c>
      <c r="B7" s="2" t="s">
        <v>28</v>
      </c>
      <c r="C7" s="2" t="s">
        <v>1056</v>
      </c>
      <c r="D7" s="2"/>
      <c r="E7" s="2" t="s">
        <v>1069</v>
      </c>
      <c r="F7" s="2" t="s">
        <v>1070</v>
      </c>
      <c r="G7" s="2" t="s">
        <v>1071</v>
      </c>
      <c r="H7" s="2" t="s">
        <v>1072</v>
      </c>
      <c r="I7" s="2" t="s">
        <v>58</v>
      </c>
      <c r="J7" s="2" t="s">
        <v>5</v>
      </c>
      <c r="K7" s="2">
        <v>3</v>
      </c>
      <c r="L7" s="2" t="s">
        <v>1073</v>
      </c>
      <c r="M7" s="2"/>
      <c r="N7" s="3" t="str">
        <f>IFERROR(VLOOKUP(M7,Lookups!$A$2:$B$7,2,FALSE),"")</f>
        <v/>
      </c>
      <c r="O7" s="3" t="str">
        <f t="shared" si="0"/>
        <v/>
      </c>
      <c r="P7" s="2"/>
    </row>
    <row r="8" spans="1:16" ht="60" customHeight="1" x14ac:dyDescent="0.3">
      <c r="A8" s="2" t="s">
        <v>1074</v>
      </c>
      <c r="B8" s="2" t="s">
        <v>45</v>
      </c>
      <c r="C8" s="2" t="s">
        <v>1056</v>
      </c>
      <c r="D8" s="2"/>
      <c r="E8" s="2" t="s">
        <v>1075</v>
      </c>
      <c r="F8" s="2" t="s">
        <v>1076</v>
      </c>
      <c r="G8" s="2" t="s">
        <v>1077</v>
      </c>
      <c r="H8" s="2" t="s">
        <v>1078</v>
      </c>
      <c r="I8" s="2" t="s">
        <v>42</v>
      </c>
      <c r="J8" s="2" t="s">
        <v>7</v>
      </c>
      <c r="K8" s="2">
        <v>2</v>
      </c>
      <c r="L8" s="2" t="s">
        <v>1079</v>
      </c>
      <c r="M8" s="2"/>
      <c r="N8" s="3" t="str">
        <f>IFERROR(VLOOKUP(M8,Lookups!$A$2:$B$7,2,FALSE),"")</f>
        <v/>
      </c>
      <c r="O8" s="3" t="str">
        <f t="shared" si="0"/>
        <v/>
      </c>
      <c r="P8" s="2"/>
    </row>
    <row r="9" spans="1:16" ht="60" customHeight="1" x14ac:dyDescent="0.3">
      <c r="A9" s="2" t="s">
        <v>1080</v>
      </c>
      <c r="B9" s="2" t="s">
        <v>45</v>
      </c>
      <c r="C9" s="2" t="s">
        <v>1056</v>
      </c>
      <c r="D9" s="2"/>
      <c r="E9" s="2" t="s">
        <v>1081</v>
      </c>
      <c r="F9" s="2" t="s">
        <v>1082</v>
      </c>
      <c r="G9" s="2" t="s">
        <v>1083</v>
      </c>
      <c r="H9" s="2" t="s">
        <v>1084</v>
      </c>
      <c r="I9" s="2" t="s">
        <v>58</v>
      </c>
      <c r="J9" s="2" t="s">
        <v>7</v>
      </c>
      <c r="K9" s="2">
        <v>2</v>
      </c>
      <c r="L9" s="2" t="s">
        <v>1085</v>
      </c>
      <c r="M9" s="2"/>
      <c r="N9" s="3" t="str">
        <f>IFERROR(VLOOKUP(M9,Lookups!$A$2:$B$7,2,FALSE),"")</f>
        <v/>
      </c>
      <c r="O9" s="3" t="str">
        <f t="shared" si="0"/>
        <v/>
      </c>
      <c r="P9" s="2"/>
    </row>
    <row r="10" spans="1:16" ht="60" customHeight="1" x14ac:dyDescent="0.3">
      <c r="A10" s="2" t="s">
        <v>1086</v>
      </c>
      <c r="B10" s="2" t="s">
        <v>28</v>
      </c>
      <c r="C10" s="2" t="s">
        <v>1087</v>
      </c>
      <c r="D10" s="2"/>
      <c r="E10" s="2" t="s">
        <v>1088</v>
      </c>
      <c r="F10" s="2" t="s">
        <v>1089</v>
      </c>
      <c r="G10" s="2" t="s">
        <v>1090</v>
      </c>
      <c r="H10" s="2" t="s">
        <v>1091</v>
      </c>
      <c r="I10" s="2" t="s">
        <v>299</v>
      </c>
      <c r="J10" s="2" t="s">
        <v>5</v>
      </c>
      <c r="K10" s="2">
        <v>3</v>
      </c>
      <c r="L10" s="2" t="s">
        <v>1092</v>
      </c>
      <c r="M10" s="2"/>
      <c r="N10" s="3" t="str">
        <f>IFERROR(VLOOKUP(M10,Lookups!$A$2:$B$7,2,FALSE),"")</f>
        <v/>
      </c>
      <c r="O10" s="3" t="str">
        <f t="shared" si="0"/>
        <v/>
      </c>
      <c r="P10" s="2"/>
    </row>
    <row r="11" spans="1:16" ht="60" customHeight="1" x14ac:dyDescent="0.3">
      <c r="A11" s="2" t="s">
        <v>1093</v>
      </c>
      <c r="B11" s="2" t="s">
        <v>45</v>
      </c>
      <c r="C11" s="2" t="s">
        <v>1087</v>
      </c>
      <c r="D11" s="2"/>
      <c r="E11" s="2" t="s">
        <v>1094</v>
      </c>
      <c r="F11" s="2" t="s">
        <v>1095</v>
      </c>
      <c r="G11" s="2" t="s">
        <v>1096</v>
      </c>
      <c r="H11" s="2" t="s">
        <v>1097</v>
      </c>
      <c r="I11" s="2" t="s">
        <v>1053</v>
      </c>
      <c r="J11" s="2" t="s">
        <v>7</v>
      </c>
      <c r="K11" s="2">
        <v>2</v>
      </c>
      <c r="L11" s="2" t="s">
        <v>1098</v>
      </c>
      <c r="M11" s="2"/>
      <c r="N11" s="3" t="str">
        <f>IFERROR(VLOOKUP(M11,Lookups!$A$2:$B$7,2,FALSE),"")</f>
        <v/>
      </c>
      <c r="O11" s="3" t="str">
        <f t="shared" si="0"/>
        <v/>
      </c>
      <c r="P11" s="2"/>
    </row>
    <row r="12" spans="1:16" ht="60" customHeight="1" x14ac:dyDescent="0.3">
      <c r="A12" s="2" t="s">
        <v>1099</v>
      </c>
      <c r="B12" s="2" t="s">
        <v>28</v>
      </c>
      <c r="C12" s="2" t="s">
        <v>1087</v>
      </c>
      <c r="D12" s="2"/>
      <c r="E12" s="2" t="s">
        <v>1100</v>
      </c>
      <c r="F12" s="2" t="s">
        <v>1101</v>
      </c>
      <c r="G12" s="2" t="s">
        <v>1102</v>
      </c>
      <c r="H12" s="2" t="s">
        <v>1103</v>
      </c>
      <c r="I12" s="2" t="s">
        <v>1104</v>
      </c>
      <c r="J12" s="2" t="s">
        <v>5</v>
      </c>
      <c r="K12" s="2">
        <v>3</v>
      </c>
      <c r="L12" s="2" t="s">
        <v>1105</v>
      </c>
      <c r="M12" s="2"/>
      <c r="N12" s="3" t="str">
        <f>IFERROR(VLOOKUP(M12,Lookups!$A$2:$B$7,2,FALSE),"")</f>
        <v/>
      </c>
      <c r="O12" s="3" t="str">
        <f t="shared" si="0"/>
        <v/>
      </c>
      <c r="P12" s="2"/>
    </row>
    <row r="13" spans="1:16" ht="60" customHeight="1" x14ac:dyDescent="0.3">
      <c r="A13" s="2" t="s">
        <v>1106</v>
      </c>
      <c r="B13" s="2" t="s">
        <v>45</v>
      </c>
      <c r="C13" s="2" t="s">
        <v>1107</v>
      </c>
      <c r="D13" s="2"/>
      <c r="E13" s="2" t="s">
        <v>1108</v>
      </c>
      <c r="F13" s="2" t="s">
        <v>1109</v>
      </c>
      <c r="G13" s="2" t="s">
        <v>1110</v>
      </c>
      <c r="H13" s="2" t="s">
        <v>1111</v>
      </c>
      <c r="I13" s="2" t="s">
        <v>299</v>
      </c>
      <c r="J13" s="2" t="s">
        <v>7</v>
      </c>
      <c r="K13" s="2">
        <v>2</v>
      </c>
      <c r="L13" s="2" t="s">
        <v>1112</v>
      </c>
      <c r="M13" s="2"/>
      <c r="N13" s="3" t="str">
        <f>IFERROR(VLOOKUP(M13,Lookups!$A$2:$B$7,2,FALSE),"")</f>
        <v/>
      </c>
      <c r="O13" s="3" t="str">
        <f t="shared" si="0"/>
        <v/>
      </c>
      <c r="P13" s="2"/>
    </row>
    <row r="14" spans="1:16" ht="60" customHeight="1" x14ac:dyDescent="0.3">
      <c r="A14" s="2" t="s">
        <v>1113</v>
      </c>
      <c r="B14" s="2" t="s">
        <v>28</v>
      </c>
      <c r="C14" s="2" t="s">
        <v>1107</v>
      </c>
      <c r="D14" s="2"/>
      <c r="E14" s="2" t="s">
        <v>1114</v>
      </c>
      <c r="F14" s="2" t="s">
        <v>1115</v>
      </c>
      <c r="G14" s="2" t="s">
        <v>1116</v>
      </c>
      <c r="H14" s="2" t="s">
        <v>1117</v>
      </c>
      <c r="I14" s="2" t="s">
        <v>299</v>
      </c>
      <c r="J14" s="2" t="s">
        <v>5</v>
      </c>
      <c r="K14" s="2">
        <v>3</v>
      </c>
      <c r="L14" s="2" t="s">
        <v>1118</v>
      </c>
      <c r="M14" s="2"/>
      <c r="N14" s="3" t="str">
        <f>IFERROR(VLOOKUP(M14,Lookups!$A$2:$B$7,2,FALSE),"")</f>
        <v/>
      </c>
      <c r="O14" s="3" t="str">
        <f t="shared" si="0"/>
        <v/>
      </c>
      <c r="P14" s="2"/>
    </row>
    <row r="15" spans="1:16" ht="60" customHeight="1" x14ac:dyDescent="0.3">
      <c r="A15" s="2" t="s">
        <v>1119</v>
      </c>
      <c r="B15" s="2" t="s">
        <v>28</v>
      </c>
      <c r="C15" s="2" t="s">
        <v>1107</v>
      </c>
      <c r="D15" s="2"/>
      <c r="E15" s="2" t="s">
        <v>1120</v>
      </c>
      <c r="F15" s="2" t="s">
        <v>1121</v>
      </c>
      <c r="G15" s="2" t="s">
        <v>1122</v>
      </c>
      <c r="H15" s="2" t="s">
        <v>1123</v>
      </c>
      <c r="I15" s="2" t="s">
        <v>299</v>
      </c>
      <c r="J15" s="2" t="s">
        <v>5</v>
      </c>
      <c r="K15" s="2">
        <v>3</v>
      </c>
      <c r="L15" s="2" t="s">
        <v>1124</v>
      </c>
      <c r="M15" s="2"/>
      <c r="N15" s="3" t="str">
        <f>IFERROR(VLOOKUP(M15,Lookups!$A$2:$B$7,2,FALSE),"")</f>
        <v/>
      </c>
      <c r="O15" s="3" t="str">
        <f t="shared" si="0"/>
        <v/>
      </c>
      <c r="P15" s="2"/>
    </row>
    <row r="16" spans="1:16" ht="60" customHeight="1" x14ac:dyDescent="0.3">
      <c r="A16" s="2" t="s">
        <v>1125</v>
      </c>
      <c r="B16" s="2" t="s">
        <v>45</v>
      </c>
      <c r="C16" s="2" t="s">
        <v>1107</v>
      </c>
      <c r="D16" s="2"/>
      <c r="E16" s="2" t="s">
        <v>1126</v>
      </c>
      <c r="F16" s="2" t="s">
        <v>1127</v>
      </c>
      <c r="G16" s="2" t="s">
        <v>1128</v>
      </c>
      <c r="H16" s="2" t="s">
        <v>1129</v>
      </c>
      <c r="I16" s="2" t="s">
        <v>1130</v>
      </c>
      <c r="J16" s="2" t="s">
        <v>9</v>
      </c>
      <c r="K16" s="2">
        <v>1</v>
      </c>
      <c r="L16" s="2" t="s">
        <v>1131</v>
      </c>
      <c r="M16" s="2"/>
      <c r="N16" s="3" t="str">
        <f>IFERROR(VLOOKUP(M16,Lookups!$A$2:$B$7,2,FALSE),"")</f>
        <v/>
      </c>
      <c r="O16" s="3" t="str">
        <f t="shared" si="0"/>
        <v/>
      </c>
      <c r="P16" s="2"/>
    </row>
    <row r="17" spans="1:16" ht="60" customHeight="1" x14ac:dyDescent="0.3">
      <c r="A17" s="2" t="s">
        <v>1132</v>
      </c>
      <c r="B17" s="2" t="s">
        <v>45</v>
      </c>
      <c r="C17" s="2" t="s">
        <v>1107</v>
      </c>
      <c r="D17" s="2"/>
      <c r="E17" s="2" t="s">
        <v>1133</v>
      </c>
      <c r="F17" s="2" t="s">
        <v>1134</v>
      </c>
      <c r="G17" s="2" t="s">
        <v>1135</v>
      </c>
      <c r="H17" s="2" t="s">
        <v>1136</v>
      </c>
      <c r="I17" s="2" t="s">
        <v>1130</v>
      </c>
      <c r="J17" s="2" t="s">
        <v>7</v>
      </c>
      <c r="K17" s="2">
        <v>2</v>
      </c>
      <c r="L17" s="2" t="s">
        <v>1137</v>
      </c>
      <c r="M17" s="2"/>
      <c r="N17" s="3" t="str">
        <f>IFERROR(VLOOKUP(M17,Lookups!$A$2:$B$7,2,FALSE),"")</f>
        <v/>
      </c>
      <c r="O17" s="3" t="str">
        <f t="shared" si="0"/>
        <v/>
      </c>
      <c r="P17" s="2"/>
    </row>
    <row r="18" spans="1:16" ht="60" customHeight="1" x14ac:dyDescent="0.3">
      <c r="A18" s="2" t="s">
        <v>1138</v>
      </c>
      <c r="B18" s="2" t="s">
        <v>28</v>
      </c>
      <c r="C18" s="2" t="s">
        <v>1139</v>
      </c>
      <c r="D18" s="2"/>
      <c r="E18" s="2" t="s">
        <v>1140</v>
      </c>
      <c r="F18" s="2" t="s">
        <v>1141</v>
      </c>
      <c r="G18" s="2" t="s">
        <v>1142</v>
      </c>
      <c r="H18" s="2" t="s">
        <v>1143</v>
      </c>
      <c r="I18" s="2" t="s">
        <v>1053</v>
      </c>
      <c r="J18" s="2" t="s">
        <v>5</v>
      </c>
      <c r="K18" s="2">
        <v>3</v>
      </c>
      <c r="L18" s="2" t="s">
        <v>1144</v>
      </c>
      <c r="M18" s="2"/>
      <c r="N18" s="3" t="str">
        <f>IFERROR(VLOOKUP(M18,Lookups!$A$2:$B$7,2,FALSE),"")</f>
        <v/>
      </c>
      <c r="O18" s="3" t="str">
        <f t="shared" si="0"/>
        <v/>
      </c>
      <c r="P18" s="2"/>
    </row>
    <row r="19" spans="1:16" ht="60" customHeight="1" x14ac:dyDescent="0.3">
      <c r="A19" s="2" t="s">
        <v>1145</v>
      </c>
      <c r="B19" s="2" t="s">
        <v>28</v>
      </c>
      <c r="C19" s="2" t="s">
        <v>1139</v>
      </c>
      <c r="D19" s="2"/>
      <c r="E19" s="2" t="s">
        <v>1146</v>
      </c>
      <c r="F19" s="2" t="s">
        <v>1147</v>
      </c>
      <c r="G19" s="2" t="s">
        <v>1148</v>
      </c>
      <c r="H19" s="2" t="s">
        <v>1149</v>
      </c>
      <c r="I19" s="2" t="s">
        <v>299</v>
      </c>
      <c r="J19" s="2" t="s">
        <v>5</v>
      </c>
      <c r="K19" s="2">
        <v>3</v>
      </c>
      <c r="L19" s="2" t="s">
        <v>1150</v>
      </c>
      <c r="M19" s="2"/>
      <c r="N19" s="3" t="str">
        <f>IFERROR(VLOOKUP(M19,Lookups!$A$2:$B$7,2,FALSE),"")</f>
        <v/>
      </c>
      <c r="O19" s="3" t="str">
        <f t="shared" si="0"/>
        <v/>
      </c>
      <c r="P19" s="2"/>
    </row>
    <row r="20" spans="1:16" ht="60" customHeight="1" x14ac:dyDescent="0.3">
      <c r="A20" s="2" t="s">
        <v>1151</v>
      </c>
      <c r="B20" s="2" t="s">
        <v>45</v>
      </c>
      <c r="C20" s="2" t="s">
        <v>1139</v>
      </c>
      <c r="D20" s="2"/>
      <c r="E20" s="2" t="s">
        <v>1152</v>
      </c>
      <c r="F20" s="2" t="s">
        <v>1153</v>
      </c>
      <c r="G20" s="2" t="s">
        <v>1154</v>
      </c>
      <c r="H20" s="2" t="s">
        <v>1155</v>
      </c>
      <c r="I20" s="2" t="s">
        <v>299</v>
      </c>
      <c r="J20" s="2" t="s">
        <v>7</v>
      </c>
      <c r="K20" s="2">
        <v>2</v>
      </c>
      <c r="L20" s="2" t="s">
        <v>1156</v>
      </c>
      <c r="M20" s="2"/>
      <c r="N20" s="3" t="str">
        <f>IFERROR(VLOOKUP(M20,Lookups!$A$2:$B$7,2,FALSE),"")</f>
        <v/>
      </c>
      <c r="O20" s="3" t="str">
        <f t="shared" si="0"/>
        <v/>
      </c>
      <c r="P20" s="2"/>
    </row>
    <row r="21" spans="1:16" ht="60" customHeight="1" x14ac:dyDescent="0.3">
      <c r="A21" s="2" t="s">
        <v>1157</v>
      </c>
      <c r="B21" s="2" t="s">
        <v>28</v>
      </c>
      <c r="C21" s="2" t="s">
        <v>1158</v>
      </c>
      <c r="D21" s="2"/>
      <c r="E21" s="2" t="s">
        <v>1159</v>
      </c>
      <c r="F21" s="2" t="s">
        <v>1160</v>
      </c>
      <c r="G21" s="2" t="s">
        <v>1161</v>
      </c>
      <c r="H21" s="2" t="s">
        <v>1162</v>
      </c>
      <c r="I21" s="2" t="s">
        <v>299</v>
      </c>
      <c r="J21" s="2" t="s">
        <v>5</v>
      </c>
      <c r="K21" s="2">
        <v>3</v>
      </c>
      <c r="L21" s="2" t="s">
        <v>1163</v>
      </c>
      <c r="M21" s="2"/>
      <c r="N21" s="3" t="str">
        <f>IFERROR(VLOOKUP(M21,Lookups!$A$2:$B$7,2,FALSE),"")</f>
        <v/>
      </c>
      <c r="O21" s="3" t="str">
        <f t="shared" si="0"/>
        <v/>
      </c>
      <c r="P21" s="2"/>
    </row>
    <row r="22" spans="1:16" ht="60" customHeight="1" x14ac:dyDescent="0.3">
      <c r="A22" s="2" t="s">
        <v>1164</v>
      </c>
      <c r="B22" s="2" t="s">
        <v>28</v>
      </c>
      <c r="C22" s="2" t="s">
        <v>1158</v>
      </c>
      <c r="D22" s="2"/>
      <c r="E22" s="2" t="s">
        <v>1165</v>
      </c>
      <c r="F22" s="2" t="s">
        <v>1166</v>
      </c>
      <c r="G22" s="2" t="s">
        <v>1167</v>
      </c>
      <c r="H22" s="2" t="s">
        <v>1168</v>
      </c>
      <c r="I22" s="2" t="s">
        <v>1053</v>
      </c>
      <c r="J22" s="2" t="s">
        <v>5</v>
      </c>
      <c r="K22" s="2">
        <v>3</v>
      </c>
      <c r="L22" s="2" t="s">
        <v>1169</v>
      </c>
      <c r="M22" s="2"/>
      <c r="N22" s="3" t="str">
        <f>IFERROR(VLOOKUP(M22,Lookups!$A$2:$B$7,2,FALSE),"")</f>
        <v/>
      </c>
      <c r="O22" s="3" t="str">
        <f t="shared" si="0"/>
        <v/>
      </c>
      <c r="P22" s="2"/>
    </row>
    <row r="23" spans="1:16" ht="60" customHeight="1" x14ac:dyDescent="0.3">
      <c r="A23" s="2" t="s">
        <v>1170</v>
      </c>
      <c r="B23" s="2" t="s">
        <v>28</v>
      </c>
      <c r="C23" s="2" t="s">
        <v>1171</v>
      </c>
      <c r="D23" s="2"/>
      <c r="E23" s="2" t="s">
        <v>1172</v>
      </c>
      <c r="F23" s="2" t="s">
        <v>1173</v>
      </c>
      <c r="G23" s="2" t="s">
        <v>1174</v>
      </c>
      <c r="H23" s="2" t="s">
        <v>1175</v>
      </c>
      <c r="I23" s="2" t="s">
        <v>1176</v>
      </c>
      <c r="J23" s="2" t="s">
        <v>5</v>
      </c>
      <c r="K23" s="2">
        <v>3</v>
      </c>
      <c r="L23" s="2" t="s">
        <v>1177</v>
      </c>
      <c r="M23" s="2"/>
      <c r="N23" s="3" t="str">
        <f>IFERROR(VLOOKUP(M23,Lookups!$A$2:$B$7,2,FALSE),"")</f>
        <v/>
      </c>
      <c r="O23" s="3" t="str">
        <f t="shared" si="0"/>
        <v/>
      </c>
      <c r="P23" s="2"/>
    </row>
    <row r="24" spans="1:16" ht="60" customHeight="1" x14ac:dyDescent="0.3">
      <c r="A24" s="2" t="s">
        <v>1178</v>
      </c>
      <c r="B24" s="2" t="s">
        <v>28</v>
      </c>
      <c r="C24" s="2" t="s">
        <v>1171</v>
      </c>
      <c r="D24" s="2"/>
      <c r="E24" s="2" t="s">
        <v>1179</v>
      </c>
      <c r="F24" s="2" t="s">
        <v>1180</v>
      </c>
      <c r="G24" s="2" t="s">
        <v>1181</v>
      </c>
      <c r="H24" s="2" t="s">
        <v>1182</v>
      </c>
      <c r="I24" s="2" t="s">
        <v>299</v>
      </c>
      <c r="J24" s="2" t="s">
        <v>5</v>
      </c>
      <c r="K24" s="2">
        <v>3</v>
      </c>
      <c r="L24" s="2" t="s">
        <v>1183</v>
      </c>
      <c r="M24" s="2"/>
      <c r="N24" s="3" t="str">
        <f>IFERROR(VLOOKUP(M24,Lookups!$A$2:$B$7,2,FALSE),"")</f>
        <v/>
      </c>
      <c r="O24" s="3" t="str">
        <f t="shared" si="0"/>
        <v/>
      </c>
      <c r="P24" s="2"/>
    </row>
    <row r="25" spans="1:16" ht="60" customHeight="1" x14ac:dyDescent="0.3">
      <c r="A25" s="2" t="s">
        <v>1184</v>
      </c>
      <c r="B25" s="2" t="s">
        <v>45</v>
      </c>
      <c r="C25" s="2" t="s">
        <v>1171</v>
      </c>
      <c r="D25" s="2"/>
      <c r="E25" s="2" t="s">
        <v>1185</v>
      </c>
      <c r="F25" s="2" t="s">
        <v>1186</v>
      </c>
      <c r="G25" s="2" t="s">
        <v>1187</v>
      </c>
      <c r="H25" s="2" t="s">
        <v>1188</v>
      </c>
      <c r="I25" s="2" t="s">
        <v>299</v>
      </c>
      <c r="J25" s="2" t="s">
        <v>7</v>
      </c>
      <c r="K25" s="2">
        <v>2</v>
      </c>
      <c r="L25" s="2" t="s">
        <v>1189</v>
      </c>
      <c r="M25" s="2"/>
      <c r="N25" s="3" t="str">
        <f>IFERROR(VLOOKUP(M25,Lookups!$A$2:$B$7,2,FALSE),"")</f>
        <v/>
      </c>
      <c r="O25" s="3" t="str">
        <f t="shared" si="0"/>
        <v/>
      </c>
      <c r="P25" s="2"/>
    </row>
    <row r="26" spans="1:16" ht="60" customHeight="1" x14ac:dyDescent="0.3">
      <c r="A26" s="2" t="s">
        <v>1190</v>
      </c>
      <c r="B26" s="2" t="s">
        <v>28</v>
      </c>
      <c r="C26" s="2" t="s">
        <v>1191</v>
      </c>
      <c r="D26" s="2"/>
      <c r="E26" s="2" t="s">
        <v>1192</v>
      </c>
      <c r="F26" s="2" t="s">
        <v>1193</v>
      </c>
      <c r="G26" s="2" t="s">
        <v>1194</v>
      </c>
      <c r="H26" s="2" t="s">
        <v>1195</v>
      </c>
      <c r="I26" s="2" t="s">
        <v>1053</v>
      </c>
      <c r="J26" s="2" t="s">
        <v>5</v>
      </c>
      <c r="K26" s="2">
        <v>3</v>
      </c>
      <c r="L26" s="2" t="s">
        <v>1196</v>
      </c>
      <c r="M26" s="2"/>
      <c r="N26" s="3" t="str">
        <f>IFERROR(VLOOKUP(M26,Lookups!$A$2:$B$7,2,FALSE),"")</f>
        <v/>
      </c>
      <c r="O26" s="3" t="str">
        <f t="shared" si="0"/>
        <v/>
      </c>
      <c r="P26" s="2"/>
    </row>
    <row r="27" spans="1:16" ht="60" customHeight="1" x14ac:dyDescent="0.3">
      <c r="A27" s="2" t="s">
        <v>1197</v>
      </c>
      <c r="B27" s="2" t="s">
        <v>28</v>
      </c>
      <c r="C27" s="2" t="s">
        <v>1191</v>
      </c>
      <c r="D27" s="2"/>
      <c r="E27" s="2" t="s">
        <v>1198</v>
      </c>
      <c r="F27" s="2" t="s">
        <v>1199</v>
      </c>
      <c r="G27" s="2" t="s">
        <v>1200</v>
      </c>
      <c r="H27" s="2" t="s">
        <v>1201</v>
      </c>
      <c r="I27" s="2" t="s">
        <v>299</v>
      </c>
      <c r="J27" s="2" t="s">
        <v>5</v>
      </c>
      <c r="K27" s="2">
        <v>3</v>
      </c>
      <c r="L27" s="2" t="s">
        <v>1202</v>
      </c>
      <c r="M27" s="2"/>
      <c r="N27" s="3" t="str">
        <f>IFERROR(VLOOKUP(M27,Lookups!$A$2:$B$7,2,FALSE),"")</f>
        <v/>
      </c>
      <c r="O27" s="3" t="str">
        <f t="shared" si="0"/>
        <v/>
      </c>
      <c r="P27" s="2"/>
    </row>
    <row r="28" spans="1:16" ht="60" customHeight="1" x14ac:dyDescent="0.3">
      <c r="A28" s="2" t="s">
        <v>1203</v>
      </c>
      <c r="B28" s="2" t="s">
        <v>45</v>
      </c>
      <c r="C28" s="2" t="s">
        <v>1191</v>
      </c>
      <c r="D28" s="2"/>
      <c r="E28" s="2" t="s">
        <v>1204</v>
      </c>
      <c r="F28" s="2" t="s">
        <v>1205</v>
      </c>
      <c r="G28" s="2" t="s">
        <v>1206</v>
      </c>
      <c r="H28" s="2" t="s">
        <v>1207</v>
      </c>
      <c r="I28" s="2" t="s">
        <v>299</v>
      </c>
      <c r="J28" s="2" t="s">
        <v>7</v>
      </c>
      <c r="K28" s="2">
        <v>2</v>
      </c>
      <c r="L28" s="2" t="s">
        <v>1208</v>
      </c>
      <c r="M28" s="2"/>
      <c r="N28" s="3" t="str">
        <f>IFERROR(VLOOKUP(M28,Lookups!$A$2:$B$7,2,FALSE),"")</f>
        <v/>
      </c>
      <c r="O28" s="3" t="str">
        <f t="shared" si="0"/>
        <v/>
      </c>
      <c r="P28" s="2"/>
    </row>
    <row r="29" spans="1:16" ht="60" customHeight="1" x14ac:dyDescent="0.3">
      <c r="A29" s="2" t="s">
        <v>1209</v>
      </c>
      <c r="B29" s="2" t="s">
        <v>28</v>
      </c>
      <c r="C29" s="2" t="s">
        <v>1210</v>
      </c>
      <c r="D29" s="2"/>
      <c r="E29" s="2" t="s">
        <v>1211</v>
      </c>
      <c r="F29" s="2" t="s">
        <v>1212</v>
      </c>
      <c r="G29" s="2" t="s">
        <v>1213</v>
      </c>
      <c r="H29" s="2" t="s">
        <v>1214</v>
      </c>
      <c r="I29" s="2" t="s">
        <v>299</v>
      </c>
      <c r="J29" s="2" t="s">
        <v>5</v>
      </c>
      <c r="K29" s="2">
        <v>3</v>
      </c>
      <c r="L29" s="2" t="s">
        <v>1215</v>
      </c>
      <c r="M29" s="2"/>
      <c r="N29" s="3" t="str">
        <f>IFERROR(VLOOKUP(M29,Lookups!$A$2:$B$7,2,FALSE),"")</f>
        <v/>
      </c>
      <c r="O29" s="3" t="str">
        <f t="shared" si="0"/>
        <v/>
      </c>
      <c r="P29" s="2"/>
    </row>
    <row r="30" spans="1:16" ht="60" customHeight="1" x14ac:dyDescent="0.3">
      <c r="A30" s="2" t="s">
        <v>1216</v>
      </c>
      <c r="B30" s="2" t="s">
        <v>45</v>
      </c>
      <c r="C30" s="2" t="s">
        <v>1210</v>
      </c>
      <c r="D30" s="2"/>
      <c r="E30" s="2" t="s">
        <v>1217</v>
      </c>
      <c r="F30" s="2" t="s">
        <v>1218</v>
      </c>
      <c r="G30" s="2" t="s">
        <v>1219</v>
      </c>
      <c r="H30" s="2" t="s">
        <v>1220</v>
      </c>
      <c r="I30" s="2" t="s">
        <v>42</v>
      </c>
      <c r="J30" s="2" t="s">
        <v>7</v>
      </c>
      <c r="K30" s="2">
        <v>2</v>
      </c>
      <c r="L30" s="2" t="s">
        <v>704</v>
      </c>
      <c r="M30" s="2"/>
      <c r="N30" s="3" t="str">
        <f>IFERROR(VLOOKUP(M30,Lookups!$A$2:$B$7,2,FALSE),"")</f>
        <v/>
      </c>
      <c r="O30" s="3" t="str">
        <f t="shared" si="0"/>
        <v/>
      </c>
      <c r="P30" s="2"/>
    </row>
    <row r="31" spans="1:16" ht="60" customHeight="1" x14ac:dyDescent="0.3">
      <c r="A31" s="2" t="s">
        <v>1221</v>
      </c>
      <c r="B31" s="2" t="s">
        <v>45</v>
      </c>
      <c r="C31" s="2" t="s">
        <v>1210</v>
      </c>
      <c r="D31" s="2"/>
      <c r="E31" s="2" t="s">
        <v>1222</v>
      </c>
      <c r="F31" s="2" t="s">
        <v>1223</v>
      </c>
      <c r="G31" s="2" t="s">
        <v>1224</v>
      </c>
      <c r="H31" s="2" t="s">
        <v>1225</v>
      </c>
      <c r="I31" s="2" t="s">
        <v>299</v>
      </c>
      <c r="J31" s="2" t="s">
        <v>7</v>
      </c>
      <c r="K31" s="2">
        <v>2</v>
      </c>
      <c r="L31" s="2" t="s">
        <v>1226</v>
      </c>
      <c r="M31" s="2"/>
      <c r="N31" s="3" t="str">
        <f>IFERROR(VLOOKUP(M31,Lookups!$A$2:$B$7,2,FALSE),"")</f>
        <v/>
      </c>
      <c r="O31" s="3" t="str">
        <f t="shared" si="0"/>
        <v/>
      </c>
      <c r="P31" s="2"/>
    </row>
    <row r="32" spans="1:16" ht="60" customHeight="1" x14ac:dyDescent="0.3">
      <c r="A32" s="2" t="s">
        <v>1227</v>
      </c>
      <c r="B32" s="2" t="s">
        <v>28</v>
      </c>
      <c r="C32" s="2" t="s">
        <v>1228</v>
      </c>
      <c r="D32" s="2"/>
      <c r="E32" s="2" t="s">
        <v>1229</v>
      </c>
      <c r="F32" s="2" t="s">
        <v>1230</v>
      </c>
      <c r="G32" s="2" t="s">
        <v>1231</v>
      </c>
      <c r="H32" s="2" t="s">
        <v>1232</v>
      </c>
      <c r="I32" s="2" t="s">
        <v>299</v>
      </c>
      <c r="J32" s="2" t="s">
        <v>5</v>
      </c>
      <c r="K32" s="2">
        <v>3</v>
      </c>
      <c r="L32" s="2" t="s">
        <v>1233</v>
      </c>
      <c r="M32" s="2"/>
      <c r="N32" s="3" t="str">
        <f>IFERROR(VLOOKUP(M32,Lookups!$A$2:$B$7,2,FALSE),"")</f>
        <v/>
      </c>
      <c r="O32" s="3" t="str">
        <f t="shared" si="0"/>
        <v/>
      </c>
      <c r="P32" s="2"/>
    </row>
    <row r="33" spans="1:16" ht="60" customHeight="1" x14ac:dyDescent="0.3">
      <c r="A33" s="2" t="s">
        <v>1234</v>
      </c>
      <c r="B33" s="2" t="s">
        <v>45</v>
      </c>
      <c r="C33" s="2" t="s">
        <v>1228</v>
      </c>
      <c r="D33" s="2"/>
      <c r="E33" s="2" t="s">
        <v>1235</v>
      </c>
      <c r="F33" s="2" t="s">
        <v>1236</v>
      </c>
      <c r="G33" s="2" t="s">
        <v>1237</v>
      </c>
      <c r="H33" s="2" t="s">
        <v>1238</v>
      </c>
      <c r="I33" s="2" t="s">
        <v>1130</v>
      </c>
      <c r="J33" s="2" t="s">
        <v>7</v>
      </c>
      <c r="K33" s="2">
        <v>2</v>
      </c>
      <c r="L33" s="2" t="s">
        <v>1239</v>
      </c>
      <c r="M33" s="2"/>
      <c r="N33" s="3" t="str">
        <f>IFERROR(VLOOKUP(M33,Lookups!$A$2:$B$7,2,FALSE),"")</f>
        <v/>
      </c>
      <c r="O33" s="3" t="str">
        <f t="shared" si="0"/>
        <v/>
      </c>
      <c r="P33" s="2"/>
    </row>
    <row r="34" spans="1:16" ht="60" customHeight="1" x14ac:dyDescent="0.3">
      <c r="A34" s="2" t="s">
        <v>1240</v>
      </c>
      <c r="B34" s="2" t="s">
        <v>28</v>
      </c>
      <c r="C34" s="2" t="s">
        <v>1228</v>
      </c>
      <c r="D34" s="2"/>
      <c r="E34" s="2" t="s">
        <v>1241</v>
      </c>
      <c r="F34" s="2" t="s">
        <v>1242</v>
      </c>
      <c r="G34" s="2" t="s">
        <v>1243</v>
      </c>
      <c r="H34" s="2" t="s">
        <v>1244</v>
      </c>
      <c r="I34" s="2" t="s">
        <v>1130</v>
      </c>
      <c r="J34" s="2" t="s">
        <v>5</v>
      </c>
      <c r="K34" s="2">
        <v>3</v>
      </c>
      <c r="L34" s="2" t="s">
        <v>1245</v>
      </c>
      <c r="M34" s="2"/>
      <c r="N34" s="3" t="str">
        <f>IFERROR(VLOOKUP(M34,Lookups!$A$2:$B$7,2,FALSE),"")</f>
        <v/>
      </c>
      <c r="O34" s="3" t="str">
        <f t="shared" si="0"/>
        <v/>
      </c>
      <c r="P34" s="2"/>
    </row>
    <row r="35" spans="1:16" ht="60" customHeight="1" x14ac:dyDescent="0.3">
      <c r="A35" s="2" t="s">
        <v>1246</v>
      </c>
      <c r="B35" s="2" t="s">
        <v>45</v>
      </c>
      <c r="C35" s="2" t="s">
        <v>1228</v>
      </c>
      <c r="D35" s="2"/>
      <c r="E35" s="2" t="s">
        <v>1247</v>
      </c>
      <c r="F35" s="2" t="s">
        <v>1248</v>
      </c>
      <c r="G35" s="2" t="s">
        <v>1249</v>
      </c>
      <c r="H35" s="2" t="s">
        <v>1250</v>
      </c>
      <c r="I35" s="2" t="s">
        <v>299</v>
      </c>
      <c r="J35" s="2" t="s">
        <v>9</v>
      </c>
      <c r="K35" s="2">
        <v>1</v>
      </c>
      <c r="L35" s="2" t="s">
        <v>1251</v>
      </c>
      <c r="M35" s="2"/>
      <c r="N35" s="3" t="str">
        <f>IFERROR(VLOOKUP(M35,Lookups!$A$2:$B$7,2,FALSE),"")</f>
        <v/>
      </c>
      <c r="O35" s="3" t="str">
        <f t="shared" si="0"/>
        <v/>
      </c>
      <c r="P35" s="2"/>
    </row>
    <row r="36" spans="1:16" ht="60" customHeight="1" x14ac:dyDescent="0.3">
      <c r="A36" s="2" t="s">
        <v>1252</v>
      </c>
      <c r="B36" s="2" t="s">
        <v>28</v>
      </c>
      <c r="C36" s="2" t="s">
        <v>1253</v>
      </c>
      <c r="D36" s="2"/>
      <c r="E36" s="2" t="s">
        <v>1254</v>
      </c>
      <c r="F36" s="2" t="s">
        <v>1255</v>
      </c>
      <c r="G36" s="2" t="s">
        <v>1256</v>
      </c>
      <c r="H36" s="2" t="s">
        <v>1257</v>
      </c>
      <c r="I36" s="2" t="s">
        <v>299</v>
      </c>
      <c r="J36" s="2" t="s">
        <v>5</v>
      </c>
      <c r="K36" s="2">
        <v>3</v>
      </c>
      <c r="L36" s="2" t="s">
        <v>1258</v>
      </c>
      <c r="M36" s="2"/>
      <c r="N36" s="3" t="str">
        <f>IFERROR(VLOOKUP(M36,Lookups!$A$2:$B$7,2,FALSE),"")</f>
        <v/>
      </c>
      <c r="O36" s="3" t="str">
        <f t="shared" si="0"/>
        <v/>
      </c>
      <c r="P36" s="2"/>
    </row>
    <row r="37" spans="1:16" ht="60" customHeight="1" x14ac:dyDescent="0.3">
      <c r="A37" s="2" t="s">
        <v>1259</v>
      </c>
      <c r="B37" s="2" t="s">
        <v>28</v>
      </c>
      <c r="C37" s="2" t="s">
        <v>1253</v>
      </c>
      <c r="D37" s="2"/>
      <c r="E37" s="2" t="s">
        <v>1260</v>
      </c>
      <c r="F37" s="2" t="s">
        <v>1261</v>
      </c>
      <c r="G37" s="2" t="s">
        <v>1262</v>
      </c>
      <c r="H37" s="2" t="s">
        <v>1263</v>
      </c>
      <c r="I37" s="2" t="s">
        <v>1053</v>
      </c>
      <c r="J37" s="2" t="s">
        <v>5</v>
      </c>
      <c r="K37" s="2">
        <v>3</v>
      </c>
      <c r="L37" s="2" t="s">
        <v>1264</v>
      </c>
      <c r="M37" s="2"/>
      <c r="N37" s="3" t="str">
        <f>IFERROR(VLOOKUP(M37,Lookups!$A$2:$B$7,2,FALSE),"")</f>
        <v/>
      </c>
      <c r="O37" s="3" t="str">
        <f t="shared" si="0"/>
        <v/>
      </c>
      <c r="P37" s="2"/>
    </row>
    <row r="38" spans="1:16" ht="60" customHeight="1" x14ac:dyDescent="0.3">
      <c r="A38" s="2" t="s">
        <v>1265</v>
      </c>
      <c r="B38" s="2" t="s">
        <v>45</v>
      </c>
      <c r="C38" s="2" t="s">
        <v>1253</v>
      </c>
      <c r="D38" s="2"/>
      <c r="E38" s="2" t="s">
        <v>1266</v>
      </c>
      <c r="F38" s="2" t="s">
        <v>1267</v>
      </c>
      <c r="G38" s="2" t="s">
        <v>1268</v>
      </c>
      <c r="H38" s="2" t="s">
        <v>1269</v>
      </c>
      <c r="I38" s="2" t="s">
        <v>299</v>
      </c>
      <c r="J38" s="2" t="s">
        <v>7</v>
      </c>
      <c r="K38" s="2">
        <v>2</v>
      </c>
      <c r="L38" s="2" t="s">
        <v>1270</v>
      </c>
      <c r="M38" s="2"/>
      <c r="N38" s="3" t="str">
        <f>IFERROR(VLOOKUP(M38,Lookups!$A$2:$B$7,2,FALSE),"")</f>
        <v/>
      </c>
      <c r="O38" s="3" t="str">
        <f t="shared" si="0"/>
        <v/>
      </c>
      <c r="P38" s="2"/>
    </row>
    <row r="39" spans="1:16" ht="60" customHeight="1" x14ac:dyDescent="0.3">
      <c r="A39" s="2" t="s">
        <v>1271</v>
      </c>
      <c r="B39" s="2" t="s">
        <v>28</v>
      </c>
      <c r="C39" s="2" t="s">
        <v>1253</v>
      </c>
      <c r="D39" s="2"/>
      <c r="E39" s="2" t="s">
        <v>1272</v>
      </c>
      <c r="F39" s="2" t="s">
        <v>1273</v>
      </c>
      <c r="G39" s="2" t="s">
        <v>1274</v>
      </c>
      <c r="H39" s="2" t="s">
        <v>1275</v>
      </c>
      <c r="I39" s="2" t="s">
        <v>299</v>
      </c>
      <c r="J39" s="2" t="s">
        <v>5</v>
      </c>
      <c r="K39" s="2">
        <v>3</v>
      </c>
      <c r="L39" s="2" t="s">
        <v>1276</v>
      </c>
      <c r="M39" s="2"/>
      <c r="N39" s="3" t="str">
        <f>IFERROR(VLOOKUP(M39,Lookups!$A$2:$B$7,2,FALSE),"")</f>
        <v/>
      </c>
      <c r="O39" s="3" t="str">
        <f t="shared" si="0"/>
        <v/>
      </c>
      <c r="P39" s="2"/>
    </row>
    <row r="40" spans="1:16" ht="60" customHeight="1" x14ac:dyDescent="0.3">
      <c r="A40" s="2" t="s">
        <v>1277</v>
      </c>
      <c r="B40" s="2" t="s">
        <v>28</v>
      </c>
      <c r="C40" s="2" t="s">
        <v>1278</v>
      </c>
      <c r="D40" s="2"/>
      <c r="E40" s="2" t="s">
        <v>1279</v>
      </c>
      <c r="F40" s="2" t="s">
        <v>1280</v>
      </c>
      <c r="G40" s="2" t="s">
        <v>1281</v>
      </c>
      <c r="H40" s="2" t="s">
        <v>1282</v>
      </c>
      <c r="I40" s="2" t="s">
        <v>1053</v>
      </c>
      <c r="J40" s="2" t="s">
        <v>5</v>
      </c>
      <c r="K40" s="2">
        <v>3</v>
      </c>
      <c r="L40" s="2" t="s">
        <v>1283</v>
      </c>
      <c r="M40" s="2"/>
      <c r="N40" s="3" t="str">
        <f>IFERROR(VLOOKUP(M40,Lookups!$A$2:$B$7,2,FALSE),"")</f>
        <v/>
      </c>
      <c r="O40" s="3" t="str">
        <f t="shared" si="0"/>
        <v/>
      </c>
      <c r="P40" s="2"/>
    </row>
    <row r="41" spans="1:16" ht="60" customHeight="1" x14ac:dyDescent="0.3">
      <c r="A41" s="2" t="s">
        <v>1284</v>
      </c>
      <c r="B41" s="2" t="s">
        <v>28</v>
      </c>
      <c r="C41" s="2" t="s">
        <v>1285</v>
      </c>
      <c r="D41" s="2"/>
      <c r="E41" s="2" t="s">
        <v>1286</v>
      </c>
      <c r="F41" s="2" t="s">
        <v>1287</v>
      </c>
      <c r="G41" s="2" t="s">
        <v>1288</v>
      </c>
      <c r="H41" s="2" t="s">
        <v>1289</v>
      </c>
      <c r="I41" s="2" t="s">
        <v>299</v>
      </c>
      <c r="J41" s="2" t="s">
        <v>5</v>
      </c>
      <c r="K41" s="2">
        <v>3</v>
      </c>
      <c r="L41" s="2" t="s">
        <v>825</v>
      </c>
      <c r="M41" s="2"/>
      <c r="N41" s="3" t="str">
        <f>IFERROR(VLOOKUP(M41,Lookups!$A$2:$B$7,2,FALSE),"")</f>
        <v/>
      </c>
      <c r="O41" s="3" t="str">
        <f t="shared" si="0"/>
        <v/>
      </c>
      <c r="P41" s="2"/>
    </row>
    <row r="42" spans="1:16" ht="60" customHeight="1" x14ac:dyDescent="0.3">
      <c r="A42" s="2" t="s">
        <v>1290</v>
      </c>
      <c r="B42" s="2" t="s">
        <v>28</v>
      </c>
      <c r="C42" s="2" t="s">
        <v>1291</v>
      </c>
      <c r="D42" s="2"/>
      <c r="E42" s="2" t="s">
        <v>1292</v>
      </c>
      <c r="F42" s="2" t="s">
        <v>1293</v>
      </c>
      <c r="G42" s="2" t="s">
        <v>1294</v>
      </c>
      <c r="H42" s="2" t="s">
        <v>1295</v>
      </c>
      <c r="I42" s="2" t="s">
        <v>299</v>
      </c>
      <c r="J42" s="2" t="s">
        <v>5</v>
      </c>
      <c r="K42" s="2">
        <v>3</v>
      </c>
      <c r="L42" s="2" t="s">
        <v>1296</v>
      </c>
      <c r="M42" s="2"/>
      <c r="N42" s="3" t="str">
        <f>IFERROR(VLOOKUP(M42,Lookups!$A$2:$B$7,2,FALSE),"")</f>
        <v/>
      </c>
      <c r="O42" s="3" t="str">
        <f t="shared" si="0"/>
        <v/>
      </c>
      <c r="P42" s="2"/>
    </row>
    <row r="43" spans="1:16" ht="60" customHeight="1" x14ac:dyDescent="0.3">
      <c r="A43" s="2" t="s">
        <v>1297</v>
      </c>
      <c r="B43" s="2" t="s">
        <v>45</v>
      </c>
      <c r="C43" s="2" t="s">
        <v>1291</v>
      </c>
      <c r="D43" s="2"/>
      <c r="E43" s="2" t="s">
        <v>1298</v>
      </c>
      <c r="F43" s="2" t="s">
        <v>1299</v>
      </c>
      <c r="G43" s="2" t="s">
        <v>1300</v>
      </c>
      <c r="H43" s="2" t="s">
        <v>1301</v>
      </c>
      <c r="I43" s="2" t="s">
        <v>299</v>
      </c>
      <c r="J43" s="2" t="s">
        <v>7</v>
      </c>
      <c r="K43" s="2">
        <v>2</v>
      </c>
      <c r="L43" s="2" t="s">
        <v>1302</v>
      </c>
      <c r="M43" s="2"/>
      <c r="N43" s="3" t="str">
        <f>IFERROR(VLOOKUP(M43,Lookups!$A$2:$B$7,2,FALSE),"")</f>
        <v/>
      </c>
      <c r="O43" s="3" t="str">
        <f t="shared" si="0"/>
        <v/>
      </c>
      <c r="P43" s="2"/>
    </row>
    <row r="44" spans="1:16" ht="60" customHeight="1" x14ac:dyDescent="0.3">
      <c r="A44" s="2" t="s">
        <v>1303</v>
      </c>
      <c r="B44" s="2" t="s">
        <v>28</v>
      </c>
      <c r="C44" s="2" t="s">
        <v>1291</v>
      </c>
      <c r="D44" s="2"/>
      <c r="E44" s="2" t="s">
        <v>1304</v>
      </c>
      <c r="F44" s="2" t="s">
        <v>1305</v>
      </c>
      <c r="G44" s="2" t="s">
        <v>1306</v>
      </c>
      <c r="H44" s="2" t="s">
        <v>1307</v>
      </c>
      <c r="I44" s="2" t="s">
        <v>1053</v>
      </c>
      <c r="J44" s="2" t="s">
        <v>5</v>
      </c>
      <c r="K44" s="2">
        <v>3</v>
      </c>
      <c r="L44" s="2" t="s">
        <v>1308</v>
      </c>
      <c r="M44" s="2"/>
      <c r="N44" s="3" t="str">
        <f>IFERROR(VLOOKUP(M44,Lookups!$A$2:$B$7,2,FALSE),"")</f>
        <v/>
      </c>
      <c r="O44" s="3" t="str">
        <f t="shared" si="0"/>
        <v/>
      </c>
      <c r="P44" s="2"/>
    </row>
    <row r="45" spans="1:16" ht="60" customHeight="1" x14ac:dyDescent="0.3">
      <c r="A45" s="2" t="s">
        <v>1309</v>
      </c>
      <c r="B45" s="2" t="s">
        <v>45</v>
      </c>
      <c r="C45" s="2" t="s">
        <v>1291</v>
      </c>
      <c r="D45" s="2"/>
      <c r="E45" s="2" t="s">
        <v>1310</v>
      </c>
      <c r="F45" s="2" t="s">
        <v>1311</v>
      </c>
      <c r="G45" s="2" t="s">
        <v>1312</v>
      </c>
      <c r="H45" s="2" t="s">
        <v>1313</v>
      </c>
      <c r="I45" s="2" t="s">
        <v>71</v>
      </c>
      <c r="J45" s="2" t="s">
        <v>7</v>
      </c>
      <c r="K45" s="2">
        <v>2</v>
      </c>
      <c r="L45" s="2" t="s">
        <v>1314</v>
      </c>
      <c r="M45" s="2"/>
      <c r="N45" s="3" t="str">
        <f>IFERROR(VLOOKUP(M45,Lookups!$A$2:$B$7,2,FALSE),"")</f>
        <v/>
      </c>
      <c r="O45" s="3" t="str">
        <f t="shared" si="0"/>
        <v/>
      </c>
      <c r="P45" s="2"/>
    </row>
    <row r="46" spans="1:16" ht="60" customHeight="1" x14ac:dyDescent="0.3">
      <c r="A46" s="2" t="s">
        <v>1315</v>
      </c>
      <c r="B46" s="2" t="s">
        <v>28</v>
      </c>
      <c r="C46" s="2" t="s">
        <v>1316</v>
      </c>
      <c r="D46" s="2"/>
      <c r="E46" s="2" t="s">
        <v>1317</v>
      </c>
      <c r="F46" s="2" t="s">
        <v>1318</v>
      </c>
      <c r="G46" s="2" t="s">
        <v>1319</v>
      </c>
      <c r="H46" s="2" t="s">
        <v>1320</v>
      </c>
      <c r="I46" s="2" t="s">
        <v>299</v>
      </c>
      <c r="J46" s="2" t="s">
        <v>5</v>
      </c>
      <c r="K46" s="2">
        <v>3</v>
      </c>
      <c r="L46" s="2" t="s">
        <v>1321</v>
      </c>
      <c r="M46" s="2"/>
      <c r="N46" s="3" t="str">
        <f>IFERROR(VLOOKUP(M46,Lookups!$A$2:$B$7,2,FALSE),"")</f>
        <v/>
      </c>
      <c r="O46" s="3" t="str">
        <f t="shared" si="0"/>
        <v/>
      </c>
      <c r="P46" s="2"/>
    </row>
    <row r="47" spans="1:16" ht="60" customHeight="1" x14ac:dyDescent="0.3">
      <c r="A47" s="2" t="s">
        <v>1322</v>
      </c>
      <c r="B47" s="2" t="s">
        <v>28</v>
      </c>
      <c r="C47" s="2" t="s">
        <v>1323</v>
      </c>
      <c r="D47" s="2"/>
      <c r="E47" s="2" t="s">
        <v>1324</v>
      </c>
      <c r="F47" s="2" t="s">
        <v>1325</v>
      </c>
      <c r="G47" s="2" t="s">
        <v>1326</v>
      </c>
      <c r="H47" s="2" t="s">
        <v>1327</v>
      </c>
      <c r="I47" s="2" t="s">
        <v>1053</v>
      </c>
      <c r="J47" s="2" t="s">
        <v>5</v>
      </c>
      <c r="K47" s="2">
        <v>3</v>
      </c>
      <c r="L47" s="2" t="s">
        <v>1328</v>
      </c>
      <c r="M47" s="2"/>
      <c r="N47" s="3" t="str">
        <f>IFERROR(VLOOKUP(M47,Lookups!$A$2:$B$7,2,FALSE),"")</f>
        <v/>
      </c>
      <c r="O47" s="3" t="str">
        <f t="shared" si="0"/>
        <v/>
      </c>
      <c r="P47" s="2"/>
    </row>
    <row r="48" spans="1:16" ht="60" customHeight="1" x14ac:dyDescent="0.3">
      <c r="A48" s="2" t="s">
        <v>1329</v>
      </c>
      <c r="B48" s="2" t="s">
        <v>45</v>
      </c>
      <c r="C48" s="2" t="s">
        <v>1323</v>
      </c>
      <c r="D48" s="2"/>
      <c r="E48" s="2" t="s">
        <v>1330</v>
      </c>
      <c r="F48" s="2" t="s">
        <v>1331</v>
      </c>
      <c r="G48" s="2" t="s">
        <v>1332</v>
      </c>
      <c r="H48" s="2" t="s">
        <v>1333</v>
      </c>
      <c r="I48" s="2" t="s">
        <v>71</v>
      </c>
      <c r="J48" s="2" t="s">
        <v>7</v>
      </c>
      <c r="K48" s="2">
        <v>2</v>
      </c>
      <c r="L48" s="2" t="s">
        <v>1334</v>
      </c>
      <c r="M48" s="2"/>
      <c r="N48" s="3" t="str">
        <f>IFERROR(VLOOKUP(M48,Lookups!$A$2:$B$7,2,FALSE),"")</f>
        <v/>
      </c>
      <c r="O48" s="3" t="str">
        <f t="shared" si="0"/>
        <v/>
      </c>
      <c r="P48" s="2"/>
    </row>
    <row r="49" spans="1:16" ht="60" customHeight="1" x14ac:dyDescent="0.3">
      <c r="A49" s="2" t="s">
        <v>1335</v>
      </c>
      <c r="B49" s="2" t="s">
        <v>45</v>
      </c>
      <c r="C49" s="2" t="s">
        <v>1323</v>
      </c>
      <c r="D49" s="2"/>
      <c r="E49" s="2" t="s">
        <v>1336</v>
      </c>
      <c r="F49" s="2" t="s">
        <v>1337</v>
      </c>
      <c r="G49" s="2" t="s">
        <v>1338</v>
      </c>
      <c r="H49" s="2" t="s">
        <v>1339</v>
      </c>
      <c r="I49" s="2" t="s">
        <v>299</v>
      </c>
      <c r="J49" s="2" t="s">
        <v>7</v>
      </c>
      <c r="K49" s="2">
        <v>2</v>
      </c>
      <c r="L49" s="2" t="s">
        <v>1340</v>
      </c>
      <c r="M49" s="2"/>
      <c r="N49" s="3" t="str">
        <f>IFERROR(VLOOKUP(M49,Lookups!$A$2:$B$7,2,FALSE),"")</f>
        <v/>
      </c>
      <c r="O49" s="3" t="str">
        <f t="shared" si="0"/>
        <v/>
      </c>
      <c r="P49" s="2"/>
    </row>
  </sheetData>
  <autoFilter ref="A1:P49" xr:uid="{00000000-0009-0000-0000-000002000000}"/>
  <conditionalFormatting sqref="N2:N49">
    <cfRule type="colorScale" priority="1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" error="Select a value from the list." promptTitle="Vendor Support Level" prompt="Select the vendor's support level for this test case." xr:uid="{00000000-0002-0000-0200-000000000000}">
          <x14:formula1>
            <xm:f>Lookups!$A$2:$A$7</xm:f>
          </x14:formula1>
          <xm:sqref>M2:M158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tabSelected="1" workbookViewId="0">
      <selection activeCell="A14" sqref="A14"/>
    </sheetView>
  </sheetViews>
  <sheetFormatPr defaultRowHeight="14.4" x14ac:dyDescent="0.3"/>
  <cols>
    <col min="1" max="1" width="55" customWidth="1"/>
    <col min="2" max="6" width="18" customWidth="1"/>
  </cols>
  <sheetData>
    <row r="1" spans="1:6" x14ac:dyDescent="0.3">
      <c r="A1" s="4" t="s">
        <v>1341</v>
      </c>
      <c r="B1" s="4"/>
      <c r="C1" s="4"/>
      <c r="D1" s="4"/>
      <c r="E1" s="4"/>
      <c r="F1" s="4"/>
    </row>
    <row r="2" spans="1:6" x14ac:dyDescent="0.3">
      <c r="A2" s="4" t="s">
        <v>1342</v>
      </c>
      <c r="B2" s="4"/>
      <c r="C2" s="4"/>
      <c r="D2" s="4"/>
      <c r="E2" s="4"/>
      <c r="F2" s="4"/>
    </row>
    <row r="3" spans="1:6" x14ac:dyDescent="0.3">
      <c r="A3" s="4" t="s">
        <v>1343</v>
      </c>
      <c r="B3" s="4"/>
      <c r="C3" s="4"/>
      <c r="D3" s="4"/>
      <c r="E3" s="4"/>
      <c r="F3" s="4"/>
    </row>
    <row r="4" spans="1:6" x14ac:dyDescent="0.3">
      <c r="A4" s="4" t="s">
        <v>1344</v>
      </c>
      <c r="B4" s="4"/>
      <c r="C4" s="4"/>
      <c r="D4" s="4"/>
      <c r="E4" s="4"/>
      <c r="F4" s="4"/>
    </row>
    <row r="5" spans="1:6" ht="28.8" x14ac:dyDescent="0.3">
      <c r="A5" s="4" t="s">
        <v>1345</v>
      </c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 t="s">
        <v>1346</v>
      </c>
      <c r="B7" s="4"/>
      <c r="C7" s="4"/>
      <c r="D7" s="4"/>
      <c r="E7" s="4"/>
      <c r="F7" s="4"/>
    </row>
    <row r="8" spans="1:6" ht="28.8" x14ac:dyDescent="0.3">
      <c r="A8" s="4" t="s">
        <v>1347</v>
      </c>
      <c r="B8" s="4"/>
      <c r="C8" s="4"/>
      <c r="D8" s="4"/>
      <c r="E8" s="4"/>
      <c r="F8" s="4"/>
    </row>
    <row r="9" spans="1:6" x14ac:dyDescent="0.3">
      <c r="A9" s="4"/>
      <c r="B9" s="4"/>
      <c r="C9" s="4"/>
      <c r="D9" s="4"/>
      <c r="E9" s="4"/>
      <c r="F9" s="4"/>
    </row>
    <row r="10" spans="1:6" ht="15.6" x14ac:dyDescent="0.3">
      <c r="A10" s="5" t="s">
        <v>1348</v>
      </c>
      <c r="B10" s="4"/>
      <c r="C10" s="4"/>
      <c r="D10" s="4"/>
      <c r="E10" s="4"/>
      <c r="F10" s="4"/>
    </row>
    <row r="11" spans="1:6" ht="28.8" x14ac:dyDescent="0.3">
      <c r="A11" s="6" t="s">
        <v>15</v>
      </c>
      <c r="B11" s="6" t="s">
        <v>1349</v>
      </c>
      <c r="C11" s="6" t="s">
        <v>1350</v>
      </c>
      <c r="D11" s="6" t="s">
        <v>1351</v>
      </c>
      <c r="E11" s="6" t="s">
        <v>1352</v>
      </c>
      <c r="F11" s="6" t="s">
        <v>1353</v>
      </c>
    </row>
    <row r="12" spans="1:6" x14ac:dyDescent="0.3">
      <c r="A12" s="2" t="s">
        <v>29</v>
      </c>
      <c r="B12" s="2">
        <f>COUNTIF('Functional Test Suite'!$C:$C,$A12)</f>
        <v>22</v>
      </c>
      <c r="C12" s="2">
        <f>COUNTIFS('Functional Test Suite'!$C:$C,$A12,'Functional Test Suite'!$M:$M,"&lt;&gt;")</f>
        <v>0</v>
      </c>
      <c r="D12" s="2">
        <f>SUMIF('Functional Test Suite'!$C:$C,$A12,'Functional Test Suite'!$K:$K)</f>
        <v>51</v>
      </c>
      <c r="E12" s="2">
        <f>SUMIF('Functional Test Suite'!$C:$C,$A12,'Functional Test Suite'!$O:$O)</f>
        <v>0</v>
      </c>
      <c r="F12" s="7">
        <f t="shared" ref="F12:F29" si="0">IF(D12=0,"",E12/D12)</f>
        <v>0</v>
      </c>
    </row>
    <row r="13" spans="1:6" x14ac:dyDescent="0.3">
      <c r="A13" s="2" t="s">
        <v>175</v>
      </c>
      <c r="B13" s="2">
        <f>COUNTIF('Functional Test Suite'!$C:$C,$A13)</f>
        <v>10</v>
      </c>
      <c r="C13" s="2">
        <f>COUNTIFS('Functional Test Suite'!$C:$C,$A13,'Functional Test Suite'!$M:$M,"&lt;&gt;")</f>
        <v>0</v>
      </c>
      <c r="D13" s="2">
        <f>SUMIF('Functional Test Suite'!$C:$C,$A13,'Functional Test Suite'!$K:$K)</f>
        <v>26</v>
      </c>
      <c r="E13" s="2">
        <f>SUMIF('Functional Test Suite'!$C:$C,$A13,'Functional Test Suite'!$O:$O)</f>
        <v>0</v>
      </c>
      <c r="F13" s="7">
        <f t="shared" si="0"/>
        <v>0</v>
      </c>
    </row>
    <row r="14" spans="1:6" x14ac:dyDescent="0.3">
      <c r="A14" s="2" t="s">
        <v>244</v>
      </c>
      <c r="B14" s="2">
        <f>COUNTIF('Functional Test Suite'!$C:$C,$A14)</f>
        <v>21</v>
      </c>
      <c r="C14" s="2">
        <f>COUNTIFS('Functional Test Suite'!$C:$C,$A14,'Functional Test Suite'!$M:$M,"&lt;&gt;")</f>
        <v>0</v>
      </c>
      <c r="D14" s="2">
        <f>SUMIF('Functional Test Suite'!$C:$C,$A14,'Functional Test Suite'!$K:$K)</f>
        <v>31</v>
      </c>
      <c r="E14" s="2">
        <f>SUMIF('Functional Test Suite'!$C:$C,$A14,'Functional Test Suite'!$O:$O)</f>
        <v>0</v>
      </c>
      <c r="F14" s="7">
        <f t="shared" si="0"/>
        <v>0</v>
      </c>
    </row>
    <row r="15" spans="1:6" x14ac:dyDescent="0.3">
      <c r="A15" s="2" t="s">
        <v>379</v>
      </c>
      <c r="B15" s="2">
        <f>COUNTIF('Functional Test Suite'!$C:$C,$A15)</f>
        <v>8</v>
      </c>
      <c r="C15" s="2">
        <f>COUNTIFS('Functional Test Suite'!$C:$C,$A15,'Functional Test Suite'!$M:$M,"&lt;&gt;")</f>
        <v>0</v>
      </c>
      <c r="D15" s="2">
        <f>SUMIF('Functional Test Suite'!$C:$C,$A15,'Functional Test Suite'!$K:$K)</f>
        <v>18</v>
      </c>
      <c r="E15" s="2">
        <f>SUMIF('Functional Test Suite'!$C:$C,$A15,'Functional Test Suite'!$O:$O)</f>
        <v>0</v>
      </c>
      <c r="F15" s="7">
        <f t="shared" si="0"/>
        <v>0</v>
      </c>
    </row>
    <row r="16" spans="1:6" x14ac:dyDescent="0.3">
      <c r="A16" s="2" t="s">
        <v>430</v>
      </c>
      <c r="B16" s="2">
        <f>COUNTIF('Functional Test Suite'!$C:$C,$A16)</f>
        <v>10</v>
      </c>
      <c r="C16" s="2">
        <f>COUNTIFS('Functional Test Suite'!$C:$C,$A16,'Functional Test Suite'!$M:$M,"&lt;&gt;")</f>
        <v>0</v>
      </c>
      <c r="D16" s="2">
        <f>SUMIF('Functional Test Suite'!$C:$C,$A16,'Functional Test Suite'!$K:$K)</f>
        <v>26</v>
      </c>
      <c r="E16" s="2">
        <f>SUMIF('Functional Test Suite'!$C:$C,$A16,'Functional Test Suite'!$O:$O)</f>
        <v>0</v>
      </c>
      <c r="F16" s="7">
        <f t="shared" si="0"/>
        <v>0</v>
      </c>
    </row>
    <row r="17" spans="1:6" x14ac:dyDescent="0.3">
      <c r="A17" s="2" t="s">
        <v>493</v>
      </c>
      <c r="B17" s="2">
        <f>COUNTIF('Functional Test Suite'!$C:$C,$A17)</f>
        <v>18</v>
      </c>
      <c r="C17" s="2">
        <f>COUNTIFS('Functional Test Suite'!$C:$C,$A17,'Functional Test Suite'!$M:$M,"&lt;&gt;")</f>
        <v>0</v>
      </c>
      <c r="D17" s="2">
        <f>SUMIF('Functional Test Suite'!$C:$C,$A17,'Functional Test Suite'!$K:$K)</f>
        <v>39</v>
      </c>
      <c r="E17" s="2">
        <f>SUMIF('Functional Test Suite'!$C:$C,$A17,'Functional Test Suite'!$O:$O)</f>
        <v>0</v>
      </c>
      <c r="F17" s="7">
        <f t="shared" si="0"/>
        <v>0</v>
      </c>
    </row>
    <row r="18" spans="1:6" x14ac:dyDescent="0.3">
      <c r="A18" s="2" t="s">
        <v>607</v>
      </c>
      <c r="B18" s="2">
        <f>COUNTIF('Functional Test Suite'!$C:$C,$A18)</f>
        <v>5</v>
      </c>
      <c r="C18" s="2">
        <f>COUNTIFS('Functional Test Suite'!$C:$C,$A18,'Functional Test Suite'!$M:$M,"&lt;&gt;")</f>
        <v>0</v>
      </c>
      <c r="D18" s="2">
        <f>SUMIF('Functional Test Suite'!$C:$C,$A18,'Functional Test Suite'!$K:$K)</f>
        <v>9</v>
      </c>
      <c r="E18" s="2">
        <f>SUMIF('Functional Test Suite'!$C:$C,$A18,'Functional Test Suite'!$O:$O)</f>
        <v>0</v>
      </c>
      <c r="F18" s="7">
        <f t="shared" si="0"/>
        <v>0</v>
      </c>
    </row>
    <row r="19" spans="1:6" x14ac:dyDescent="0.3">
      <c r="A19" s="2" t="s">
        <v>638</v>
      </c>
      <c r="B19" s="2">
        <f>COUNTIF('Functional Test Suite'!$C:$C,$A19)</f>
        <v>9</v>
      </c>
      <c r="C19" s="2">
        <f>COUNTIFS('Functional Test Suite'!$C:$C,$A19,'Functional Test Suite'!$M:$M,"&lt;&gt;")</f>
        <v>0</v>
      </c>
      <c r="D19" s="2">
        <f>SUMIF('Functional Test Suite'!$C:$C,$A19,'Functional Test Suite'!$K:$K)</f>
        <v>18</v>
      </c>
      <c r="E19" s="2">
        <f>SUMIF('Functional Test Suite'!$C:$C,$A19,'Functional Test Suite'!$O:$O)</f>
        <v>0</v>
      </c>
      <c r="F19" s="7">
        <f t="shared" si="0"/>
        <v>0</v>
      </c>
    </row>
    <row r="20" spans="1:6" x14ac:dyDescent="0.3">
      <c r="A20" s="2" t="s">
        <v>693</v>
      </c>
      <c r="B20" s="2">
        <f>COUNTIF('Functional Test Suite'!$C:$C,$A20)</f>
        <v>6</v>
      </c>
      <c r="C20" s="2">
        <f>COUNTIFS('Functional Test Suite'!$C:$C,$A20,'Functional Test Suite'!$M:$M,"&lt;&gt;")</f>
        <v>0</v>
      </c>
      <c r="D20" s="2">
        <f>SUMIF('Functional Test Suite'!$C:$C,$A20,'Functional Test Suite'!$K:$K)</f>
        <v>14</v>
      </c>
      <c r="E20" s="2">
        <f>SUMIF('Functional Test Suite'!$C:$C,$A20,'Functional Test Suite'!$O:$O)</f>
        <v>0</v>
      </c>
      <c r="F20" s="7">
        <f t="shared" si="0"/>
        <v>0</v>
      </c>
    </row>
    <row r="21" spans="1:6" x14ac:dyDescent="0.3">
      <c r="A21" s="2" t="s">
        <v>730</v>
      </c>
      <c r="B21" s="2">
        <f>COUNTIF('Functional Test Suite'!$C:$C,$A21)</f>
        <v>9</v>
      </c>
      <c r="C21" s="2">
        <f>COUNTIFS('Functional Test Suite'!$C:$C,$A21,'Functional Test Suite'!$M:$M,"&lt;&gt;")</f>
        <v>0</v>
      </c>
      <c r="D21" s="2">
        <f>SUMIF('Functional Test Suite'!$C:$C,$A21,'Functional Test Suite'!$K:$K)</f>
        <v>23</v>
      </c>
      <c r="E21" s="2">
        <f>SUMIF('Functional Test Suite'!$C:$C,$A21,'Functional Test Suite'!$O:$O)</f>
        <v>0</v>
      </c>
      <c r="F21" s="7">
        <f t="shared" si="0"/>
        <v>0</v>
      </c>
    </row>
    <row r="22" spans="1:6" x14ac:dyDescent="0.3">
      <c r="A22" s="2" t="s">
        <v>789</v>
      </c>
      <c r="B22" s="2">
        <f>COUNTIF('Functional Test Suite'!$C:$C,$A22)</f>
        <v>5</v>
      </c>
      <c r="C22" s="2">
        <f>COUNTIFS('Functional Test Suite'!$C:$C,$A22,'Functional Test Suite'!$M:$M,"&lt;&gt;")</f>
        <v>0</v>
      </c>
      <c r="D22" s="2">
        <f>SUMIF('Functional Test Suite'!$C:$C,$A22,'Functional Test Suite'!$K:$K)</f>
        <v>9</v>
      </c>
      <c r="E22" s="2">
        <f>SUMIF('Functional Test Suite'!$C:$C,$A22,'Functional Test Suite'!$O:$O)</f>
        <v>0</v>
      </c>
      <c r="F22" s="7">
        <f t="shared" si="0"/>
        <v>0</v>
      </c>
    </row>
    <row r="23" spans="1:6" x14ac:dyDescent="0.3">
      <c r="A23" s="2" t="s">
        <v>820</v>
      </c>
      <c r="B23" s="2">
        <f>COUNTIF('Functional Test Suite'!$C:$C,$A23)</f>
        <v>6</v>
      </c>
      <c r="C23" s="2">
        <f>COUNTIFS('Functional Test Suite'!$C:$C,$A23,'Functional Test Suite'!$M:$M,"&lt;&gt;")</f>
        <v>0</v>
      </c>
      <c r="D23" s="2">
        <f>SUMIF('Functional Test Suite'!$C:$C,$A23,'Functional Test Suite'!$K:$K)</f>
        <v>10</v>
      </c>
      <c r="E23" s="2">
        <f>SUMIF('Functional Test Suite'!$C:$C,$A23,'Functional Test Suite'!$O:$O)</f>
        <v>0</v>
      </c>
      <c r="F23" s="7">
        <f t="shared" si="0"/>
        <v>0</v>
      </c>
    </row>
    <row r="24" spans="1:6" x14ac:dyDescent="0.3">
      <c r="A24" s="2" t="s">
        <v>857</v>
      </c>
      <c r="B24" s="2">
        <f>COUNTIF('Functional Test Suite'!$C:$C,$A24)</f>
        <v>6</v>
      </c>
      <c r="C24" s="2">
        <f>COUNTIFS('Functional Test Suite'!$C:$C,$A24,'Functional Test Suite'!$M:$M,"&lt;&gt;")</f>
        <v>0</v>
      </c>
      <c r="D24" s="2">
        <f>SUMIF('Functional Test Suite'!$C:$C,$A24,'Functional Test Suite'!$K:$K)</f>
        <v>16</v>
      </c>
      <c r="E24" s="2">
        <f>SUMIF('Functional Test Suite'!$C:$C,$A24,'Functional Test Suite'!$O:$O)</f>
        <v>0</v>
      </c>
      <c r="F24" s="7">
        <f t="shared" si="0"/>
        <v>0</v>
      </c>
    </row>
    <row r="25" spans="1:6" x14ac:dyDescent="0.3">
      <c r="A25" s="2" t="s">
        <v>900</v>
      </c>
      <c r="B25" s="2">
        <f>COUNTIF('Functional Test Suite'!$C:$C,$A25)</f>
        <v>4</v>
      </c>
      <c r="C25" s="2">
        <f>COUNTIFS('Functional Test Suite'!$C:$C,$A25,'Functional Test Suite'!$M:$M,"&lt;&gt;")</f>
        <v>0</v>
      </c>
      <c r="D25" s="2">
        <f>SUMIF('Functional Test Suite'!$C:$C,$A25,'Functional Test Suite'!$K:$K)</f>
        <v>10</v>
      </c>
      <c r="E25" s="2">
        <f>SUMIF('Functional Test Suite'!$C:$C,$A25,'Functional Test Suite'!$O:$O)</f>
        <v>0</v>
      </c>
      <c r="F25" s="7">
        <f t="shared" si="0"/>
        <v>0</v>
      </c>
    </row>
    <row r="26" spans="1:6" x14ac:dyDescent="0.3">
      <c r="A26" s="2" t="s">
        <v>925</v>
      </c>
      <c r="B26" s="2">
        <f>COUNTIF('Functional Test Suite'!$C:$C,$A26)</f>
        <v>7</v>
      </c>
      <c r="C26" s="2">
        <f>COUNTIFS('Functional Test Suite'!$C:$C,$A26,'Functional Test Suite'!$M:$M,"&lt;&gt;")</f>
        <v>0</v>
      </c>
      <c r="D26" s="2">
        <f>SUMIF('Functional Test Suite'!$C:$C,$A26,'Functional Test Suite'!$K:$K)</f>
        <v>12</v>
      </c>
      <c r="E26" s="2">
        <f>SUMIF('Functional Test Suite'!$C:$C,$A26,'Functional Test Suite'!$O:$O)</f>
        <v>0</v>
      </c>
      <c r="F26" s="7">
        <f t="shared" si="0"/>
        <v>0</v>
      </c>
    </row>
    <row r="27" spans="1:6" x14ac:dyDescent="0.3">
      <c r="A27" s="2" t="s">
        <v>968</v>
      </c>
      <c r="B27" s="2">
        <f>COUNTIF('Functional Test Suite'!$C:$C,$A27)</f>
        <v>6</v>
      </c>
      <c r="C27" s="2">
        <f>COUNTIFS('Functional Test Suite'!$C:$C,$A27,'Functional Test Suite'!$M:$M,"&lt;&gt;")</f>
        <v>0</v>
      </c>
      <c r="D27" s="2">
        <f>SUMIF('Functional Test Suite'!$C:$C,$A27,'Functional Test Suite'!$K:$K)</f>
        <v>14</v>
      </c>
      <c r="E27" s="2">
        <f>SUMIF('Functional Test Suite'!$C:$C,$A27,'Functional Test Suite'!$O:$O)</f>
        <v>0</v>
      </c>
      <c r="F27" s="7">
        <f t="shared" si="0"/>
        <v>0</v>
      </c>
    </row>
    <row r="28" spans="1:6" x14ac:dyDescent="0.3">
      <c r="A28" s="2" t="s">
        <v>1005</v>
      </c>
      <c r="B28" s="2">
        <f>COUNTIF('Functional Test Suite'!$C:$C,$A28)</f>
        <v>5</v>
      </c>
      <c r="C28" s="2">
        <f>COUNTIFS('Functional Test Suite'!$C:$C,$A28,'Functional Test Suite'!$M:$M,"&lt;&gt;")</f>
        <v>0</v>
      </c>
      <c r="D28" s="2">
        <f>SUMIF('Functional Test Suite'!$C:$C,$A28,'Functional Test Suite'!$K:$K)</f>
        <v>11</v>
      </c>
      <c r="E28" s="2">
        <f>SUMIF('Functional Test Suite'!$C:$C,$A28,'Functional Test Suite'!$O:$O)</f>
        <v>0</v>
      </c>
      <c r="F28" s="7">
        <f t="shared" si="0"/>
        <v>0</v>
      </c>
    </row>
    <row r="29" spans="1:6" x14ac:dyDescent="0.3">
      <c r="A29" s="8" t="s">
        <v>1354</v>
      </c>
      <c r="B29" s="8">
        <f>SUM(B12:B28)</f>
        <v>157</v>
      </c>
      <c r="C29" s="8">
        <f>SUM(C12:C28)</f>
        <v>0</v>
      </c>
      <c r="D29" s="8">
        <f>SUM(D12:D28)</f>
        <v>337</v>
      </c>
      <c r="E29" s="8">
        <f>SUM(E12:E28)</f>
        <v>0</v>
      </c>
      <c r="F29" s="9">
        <f t="shared" si="0"/>
        <v>0</v>
      </c>
    </row>
    <row r="30" spans="1:6" x14ac:dyDescent="0.3">
      <c r="A30" s="4"/>
      <c r="B30" s="4"/>
      <c r="C30" s="4"/>
      <c r="D30" s="4"/>
      <c r="E30" s="4"/>
      <c r="F30" s="4"/>
    </row>
    <row r="31" spans="1:6" x14ac:dyDescent="0.3">
      <c r="A31" s="4"/>
      <c r="B31" s="4"/>
      <c r="C31" s="4"/>
      <c r="D31" s="4"/>
      <c r="E31" s="4"/>
      <c r="F31" s="4"/>
    </row>
    <row r="32" spans="1:6" ht="15.6" x14ac:dyDescent="0.3">
      <c r="A32" s="5" t="s">
        <v>1355</v>
      </c>
      <c r="B32" s="4"/>
      <c r="C32" s="4"/>
      <c r="D32" s="4"/>
      <c r="E32" s="4"/>
      <c r="F32" s="4"/>
    </row>
    <row r="33" spans="1:6" ht="28.8" x14ac:dyDescent="0.3">
      <c r="A33" s="6" t="s">
        <v>15</v>
      </c>
      <c r="B33" s="6" t="s">
        <v>1349</v>
      </c>
      <c r="C33" s="6" t="s">
        <v>1350</v>
      </c>
      <c r="D33" s="6" t="s">
        <v>1351</v>
      </c>
      <c r="E33" s="6" t="s">
        <v>1352</v>
      </c>
      <c r="F33" s="6" t="s">
        <v>1353</v>
      </c>
    </row>
    <row r="34" spans="1:6" x14ac:dyDescent="0.3">
      <c r="A34" s="2" t="s">
        <v>1036</v>
      </c>
      <c r="B34" s="2">
        <f>COUNTIF('Non-Functional Test Suite'!$C:$C,$A34)</f>
        <v>3</v>
      </c>
      <c r="C34" s="2">
        <f>COUNTIFS('Non-Functional Test Suite'!$C:$C,$A34,'Non-Functional Test Suite'!$M:$M,"&lt;&gt;")</f>
        <v>0</v>
      </c>
      <c r="D34" s="2">
        <f>SUMIF('Non-Functional Test Suite'!$C:$C,$A34,'Non-Functional Test Suite'!$K:$K)</f>
        <v>8</v>
      </c>
      <c r="E34" s="2">
        <f>SUMIF('Non-Functional Test Suite'!$C:$C,$A34,'Non-Functional Test Suite'!$O:$O)</f>
        <v>0</v>
      </c>
      <c r="F34" s="7">
        <f t="shared" ref="F34:F50" si="1">IF(D34=0,"",E34/D34)</f>
        <v>0</v>
      </c>
    </row>
    <row r="35" spans="1:6" x14ac:dyDescent="0.3">
      <c r="A35" s="2" t="s">
        <v>1056</v>
      </c>
      <c r="B35" s="2">
        <f>COUNTIF('Non-Functional Test Suite'!$C:$C,$A35)</f>
        <v>5</v>
      </c>
      <c r="C35" s="2">
        <f>COUNTIFS('Non-Functional Test Suite'!$C:$C,$A35,'Non-Functional Test Suite'!$M:$M,"&lt;&gt;")</f>
        <v>0</v>
      </c>
      <c r="D35" s="2">
        <f>SUMIF('Non-Functional Test Suite'!$C:$C,$A35,'Non-Functional Test Suite'!$K:$K)</f>
        <v>13</v>
      </c>
      <c r="E35" s="2">
        <f>SUMIF('Non-Functional Test Suite'!$C:$C,$A35,'Non-Functional Test Suite'!$O:$O)</f>
        <v>0</v>
      </c>
      <c r="F35" s="7">
        <f t="shared" si="1"/>
        <v>0</v>
      </c>
    </row>
    <row r="36" spans="1:6" x14ac:dyDescent="0.3">
      <c r="A36" s="2" t="s">
        <v>1087</v>
      </c>
      <c r="B36" s="2">
        <f>COUNTIF('Non-Functional Test Suite'!$C:$C,$A36)</f>
        <v>3</v>
      </c>
      <c r="C36" s="2">
        <f>COUNTIFS('Non-Functional Test Suite'!$C:$C,$A36,'Non-Functional Test Suite'!$M:$M,"&lt;&gt;")</f>
        <v>0</v>
      </c>
      <c r="D36" s="2">
        <f>SUMIF('Non-Functional Test Suite'!$C:$C,$A36,'Non-Functional Test Suite'!$K:$K)</f>
        <v>8</v>
      </c>
      <c r="E36" s="2">
        <f>SUMIF('Non-Functional Test Suite'!$C:$C,$A36,'Non-Functional Test Suite'!$O:$O)</f>
        <v>0</v>
      </c>
      <c r="F36" s="7">
        <f t="shared" si="1"/>
        <v>0</v>
      </c>
    </row>
    <row r="37" spans="1:6" x14ac:dyDescent="0.3">
      <c r="A37" s="2" t="s">
        <v>1107</v>
      </c>
      <c r="B37" s="2">
        <f>COUNTIF('Non-Functional Test Suite'!$C:$C,$A37)</f>
        <v>5</v>
      </c>
      <c r="C37" s="2">
        <f>COUNTIFS('Non-Functional Test Suite'!$C:$C,$A37,'Non-Functional Test Suite'!$M:$M,"&lt;&gt;")</f>
        <v>0</v>
      </c>
      <c r="D37" s="2">
        <f>SUMIF('Non-Functional Test Suite'!$C:$C,$A37,'Non-Functional Test Suite'!$K:$K)</f>
        <v>11</v>
      </c>
      <c r="E37" s="2">
        <f>SUMIF('Non-Functional Test Suite'!$C:$C,$A37,'Non-Functional Test Suite'!$O:$O)</f>
        <v>0</v>
      </c>
      <c r="F37" s="7">
        <f t="shared" si="1"/>
        <v>0</v>
      </c>
    </row>
    <row r="38" spans="1:6" x14ac:dyDescent="0.3">
      <c r="A38" s="2" t="s">
        <v>1139</v>
      </c>
      <c r="B38" s="2">
        <f>COUNTIF('Non-Functional Test Suite'!$C:$C,$A38)</f>
        <v>3</v>
      </c>
      <c r="C38" s="2">
        <f>COUNTIFS('Non-Functional Test Suite'!$C:$C,$A38,'Non-Functional Test Suite'!$M:$M,"&lt;&gt;")</f>
        <v>0</v>
      </c>
      <c r="D38" s="2">
        <f>SUMIF('Non-Functional Test Suite'!$C:$C,$A38,'Non-Functional Test Suite'!$K:$K)</f>
        <v>8</v>
      </c>
      <c r="E38" s="2">
        <f>SUMIF('Non-Functional Test Suite'!$C:$C,$A38,'Non-Functional Test Suite'!$O:$O)</f>
        <v>0</v>
      </c>
      <c r="F38" s="7">
        <f t="shared" si="1"/>
        <v>0</v>
      </c>
    </row>
    <row r="39" spans="1:6" x14ac:dyDescent="0.3">
      <c r="A39" s="2" t="s">
        <v>1158</v>
      </c>
      <c r="B39" s="2">
        <f>COUNTIF('Non-Functional Test Suite'!$C:$C,$A39)</f>
        <v>2</v>
      </c>
      <c r="C39" s="2">
        <f>COUNTIFS('Non-Functional Test Suite'!$C:$C,$A39,'Non-Functional Test Suite'!$M:$M,"&lt;&gt;")</f>
        <v>0</v>
      </c>
      <c r="D39" s="2">
        <f>SUMIF('Non-Functional Test Suite'!$C:$C,$A39,'Non-Functional Test Suite'!$K:$K)</f>
        <v>6</v>
      </c>
      <c r="E39" s="2">
        <f>SUMIF('Non-Functional Test Suite'!$C:$C,$A39,'Non-Functional Test Suite'!$O:$O)</f>
        <v>0</v>
      </c>
      <c r="F39" s="7">
        <f t="shared" si="1"/>
        <v>0</v>
      </c>
    </row>
    <row r="40" spans="1:6" x14ac:dyDescent="0.3">
      <c r="A40" s="2" t="s">
        <v>1171</v>
      </c>
      <c r="B40" s="2">
        <f>COUNTIF('Non-Functional Test Suite'!$C:$C,$A40)</f>
        <v>3</v>
      </c>
      <c r="C40" s="2">
        <f>COUNTIFS('Non-Functional Test Suite'!$C:$C,$A40,'Non-Functional Test Suite'!$M:$M,"&lt;&gt;")</f>
        <v>0</v>
      </c>
      <c r="D40" s="2">
        <f>SUMIF('Non-Functional Test Suite'!$C:$C,$A40,'Non-Functional Test Suite'!$K:$K)</f>
        <v>8</v>
      </c>
      <c r="E40" s="2">
        <f>SUMIF('Non-Functional Test Suite'!$C:$C,$A40,'Non-Functional Test Suite'!$O:$O)</f>
        <v>0</v>
      </c>
      <c r="F40" s="7">
        <f t="shared" si="1"/>
        <v>0</v>
      </c>
    </row>
    <row r="41" spans="1:6" x14ac:dyDescent="0.3">
      <c r="A41" s="2" t="s">
        <v>1191</v>
      </c>
      <c r="B41" s="2">
        <f>COUNTIF('Non-Functional Test Suite'!$C:$C,$A41)</f>
        <v>3</v>
      </c>
      <c r="C41" s="2">
        <f>COUNTIFS('Non-Functional Test Suite'!$C:$C,$A41,'Non-Functional Test Suite'!$M:$M,"&lt;&gt;")</f>
        <v>0</v>
      </c>
      <c r="D41" s="2">
        <f>SUMIF('Non-Functional Test Suite'!$C:$C,$A41,'Non-Functional Test Suite'!$K:$K)</f>
        <v>8</v>
      </c>
      <c r="E41" s="2">
        <f>SUMIF('Non-Functional Test Suite'!$C:$C,$A41,'Non-Functional Test Suite'!$O:$O)</f>
        <v>0</v>
      </c>
      <c r="F41" s="7">
        <f t="shared" si="1"/>
        <v>0</v>
      </c>
    </row>
    <row r="42" spans="1:6" x14ac:dyDescent="0.3">
      <c r="A42" s="2" t="s">
        <v>1210</v>
      </c>
      <c r="B42" s="2">
        <f>COUNTIF('Non-Functional Test Suite'!$C:$C,$A42)</f>
        <v>3</v>
      </c>
      <c r="C42" s="2">
        <f>COUNTIFS('Non-Functional Test Suite'!$C:$C,$A42,'Non-Functional Test Suite'!$M:$M,"&lt;&gt;")</f>
        <v>0</v>
      </c>
      <c r="D42" s="2">
        <f>SUMIF('Non-Functional Test Suite'!$C:$C,$A42,'Non-Functional Test Suite'!$K:$K)</f>
        <v>7</v>
      </c>
      <c r="E42" s="2">
        <f>SUMIF('Non-Functional Test Suite'!$C:$C,$A42,'Non-Functional Test Suite'!$O:$O)</f>
        <v>0</v>
      </c>
      <c r="F42" s="7">
        <f t="shared" si="1"/>
        <v>0</v>
      </c>
    </row>
    <row r="43" spans="1:6" x14ac:dyDescent="0.3">
      <c r="A43" s="2" t="s">
        <v>1228</v>
      </c>
      <c r="B43" s="2">
        <f>COUNTIF('Non-Functional Test Suite'!$C:$C,$A43)</f>
        <v>4</v>
      </c>
      <c r="C43" s="2">
        <f>COUNTIFS('Non-Functional Test Suite'!$C:$C,$A43,'Non-Functional Test Suite'!$M:$M,"&lt;&gt;")</f>
        <v>0</v>
      </c>
      <c r="D43" s="2">
        <f>SUMIF('Non-Functional Test Suite'!$C:$C,$A43,'Non-Functional Test Suite'!$K:$K)</f>
        <v>9</v>
      </c>
      <c r="E43" s="2">
        <f>SUMIF('Non-Functional Test Suite'!$C:$C,$A43,'Non-Functional Test Suite'!$O:$O)</f>
        <v>0</v>
      </c>
      <c r="F43" s="7">
        <f t="shared" si="1"/>
        <v>0</v>
      </c>
    </row>
    <row r="44" spans="1:6" x14ac:dyDescent="0.3">
      <c r="A44" s="2" t="s">
        <v>1253</v>
      </c>
      <c r="B44" s="2">
        <f>COUNTIF('Non-Functional Test Suite'!$C:$C,$A44)</f>
        <v>4</v>
      </c>
      <c r="C44" s="2">
        <f>COUNTIFS('Non-Functional Test Suite'!$C:$C,$A44,'Non-Functional Test Suite'!$M:$M,"&lt;&gt;")</f>
        <v>0</v>
      </c>
      <c r="D44" s="2">
        <f>SUMIF('Non-Functional Test Suite'!$C:$C,$A44,'Non-Functional Test Suite'!$K:$K)</f>
        <v>11</v>
      </c>
      <c r="E44" s="2">
        <f>SUMIF('Non-Functional Test Suite'!$C:$C,$A44,'Non-Functional Test Suite'!$O:$O)</f>
        <v>0</v>
      </c>
      <c r="F44" s="7">
        <f t="shared" si="1"/>
        <v>0</v>
      </c>
    </row>
    <row r="45" spans="1:6" x14ac:dyDescent="0.3">
      <c r="A45" s="2" t="s">
        <v>1278</v>
      </c>
      <c r="B45" s="2">
        <f>COUNTIF('Non-Functional Test Suite'!$C:$C,$A45)</f>
        <v>1</v>
      </c>
      <c r="C45" s="2">
        <f>COUNTIFS('Non-Functional Test Suite'!$C:$C,$A45,'Non-Functional Test Suite'!$M:$M,"&lt;&gt;")</f>
        <v>0</v>
      </c>
      <c r="D45" s="2">
        <f>SUMIF('Non-Functional Test Suite'!$C:$C,$A45,'Non-Functional Test Suite'!$K:$K)</f>
        <v>3</v>
      </c>
      <c r="E45" s="2">
        <f>SUMIF('Non-Functional Test Suite'!$C:$C,$A45,'Non-Functional Test Suite'!$O:$O)</f>
        <v>0</v>
      </c>
      <c r="F45" s="7">
        <f t="shared" si="1"/>
        <v>0</v>
      </c>
    </row>
    <row r="46" spans="1:6" x14ac:dyDescent="0.3">
      <c r="A46" s="2" t="s">
        <v>1285</v>
      </c>
      <c r="B46" s="2">
        <f>COUNTIF('Non-Functional Test Suite'!$C:$C,$A46)</f>
        <v>1</v>
      </c>
      <c r="C46" s="2">
        <f>COUNTIFS('Non-Functional Test Suite'!$C:$C,$A46,'Non-Functional Test Suite'!$M:$M,"&lt;&gt;")</f>
        <v>0</v>
      </c>
      <c r="D46" s="2">
        <f>SUMIF('Non-Functional Test Suite'!$C:$C,$A46,'Non-Functional Test Suite'!$K:$K)</f>
        <v>3</v>
      </c>
      <c r="E46" s="2">
        <f>SUMIF('Non-Functional Test Suite'!$C:$C,$A46,'Non-Functional Test Suite'!$O:$O)</f>
        <v>0</v>
      </c>
      <c r="F46" s="7">
        <f t="shared" si="1"/>
        <v>0</v>
      </c>
    </row>
    <row r="47" spans="1:6" x14ac:dyDescent="0.3">
      <c r="A47" s="2" t="s">
        <v>1291</v>
      </c>
      <c r="B47" s="2">
        <f>COUNTIF('Non-Functional Test Suite'!$C:$C,$A47)</f>
        <v>4</v>
      </c>
      <c r="C47" s="2">
        <f>COUNTIFS('Non-Functional Test Suite'!$C:$C,$A47,'Non-Functional Test Suite'!$M:$M,"&lt;&gt;")</f>
        <v>0</v>
      </c>
      <c r="D47" s="2">
        <f>SUMIF('Non-Functional Test Suite'!$C:$C,$A47,'Non-Functional Test Suite'!$K:$K)</f>
        <v>10</v>
      </c>
      <c r="E47" s="2">
        <f>SUMIF('Non-Functional Test Suite'!$C:$C,$A47,'Non-Functional Test Suite'!$O:$O)</f>
        <v>0</v>
      </c>
      <c r="F47" s="7">
        <f t="shared" si="1"/>
        <v>0</v>
      </c>
    </row>
    <row r="48" spans="1:6" x14ac:dyDescent="0.3">
      <c r="A48" s="2" t="s">
        <v>1316</v>
      </c>
      <c r="B48" s="2">
        <f>COUNTIF('Non-Functional Test Suite'!$C:$C,$A48)</f>
        <v>1</v>
      </c>
      <c r="C48" s="2">
        <f>COUNTIFS('Non-Functional Test Suite'!$C:$C,$A48,'Non-Functional Test Suite'!$M:$M,"&lt;&gt;")</f>
        <v>0</v>
      </c>
      <c r="D48" s="2">
        <f>SUMIF('Non-Functional Test Suite'!$C:$C,$A48,'Non-Functional Test Suite'!$K:$K)</f>
        <v>3</v>
      </c>
      <c r="E48" s="2">
        <f>SUMIF('Non-Functional Test Suite'!$C:$C,$A48,'Non-Functional Test Suite'!$O:$O)</f>
        <v>0</v>
      </c>
      <c r="F48" s="7">
        <f t="shared" si="1"/>
        <v>0</v>
      </c>
    </row>
    <row r="49" spans="1:6" x14ac:dyDescent="0.3">
      <c r="A49" s="2" t="s">
        <v>1323</v>
      </c>
      <c r="B49" s="2">
        <f>COUNTIF('Non-Functional Test Suite'!$C:$C,$A49)</f>
        <v>3</v>
      </c>
      <c r="C49" s="2">
        <f>COUNTIFS('Non-Functional Test Suite'!$C:$C,$A49,'Non-Functional Test Suite'!$M:$M,"&lt;&gt;")</f>
        <v>0</v>
      </c>
      <c r="D49" s="2">
        <f>SUMIF('Non-Functional Test Suite'!$C:$C,$A49,'Non-Functional Test Suite'!$K:$K)</f>
        <v>7</v>
      </c>
      <c r="E49" s="2">
        <f>SUMIF('Non-Functional Test Suite'!$C:$C,$A49,'Non-Functional Test Suite'!$O:$O)</f>
        <v>0</v>
      </c>
      <c r="F49" s="7">
        <f t="shared" si="1"/>
        <v>0</v>
      </c>
    </row>
    <row r="50" spans="1:6" x14ac:dyDescent="0.3">
      <c r="A50" s="8" t="s">
        <v>1354</v>
      </c>
      <c r="B50" s="8">
        <f>SUM(B34:B49)</f>
        <v>48</v>
      </c>
      <c r="C50" s="8">
        <f>SUM(C34:C49)</f>
        <v>0</v>
      </c>
      <c r="D50" s="8">
        <f>SUM(D34:D49)</f>
        <v>123</v>
      </c>
      <c r="E50" s="8">
        <f>SUM(E34:E49)</f>
        <v>0</v>
      </c>
      <c r="F50" s="9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Lookups</vt:lpstr>
      <vt:lpstr>Functional Test Suite</vt:lpstr>
      <vt:lpstr>Non-Functional Test Suite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DAMAS SILVA</cp:lastModifiedBy>
  <dcterms:created xsi:type="dcterms:W3CDTF">2026-02-27T12:21:45Z</dcterms:created>
  <dcterms:modified xsi:type="dcterms:W3CDTF">2026-03-02T15:41:01Z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2026-03-02T15:38:23Z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4a7b1c8a-8f91-4acf-9fb4-2de3c3720c48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